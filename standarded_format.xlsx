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x_hr.coop\Desktop\first_week\dashboard_streamlit\"/>
    </mc:Choice>
  </mc:AlternateContent>
  <xr:revisionPtr revIDLastSave="0" documentId="13_ncr:1_{8228BD37-0471-4CEC-B00F-745A5F477E4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2" sheetId="2" r:id="rId1"/>
  </sheets>
  <definedNames>
    <definedName name="_xlnm._FilterDatabase" localSheetId="0" hidden="1">Sheet2!$B$1:$M$110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2" l="1"/>
  <c r="B108" i="2"/>
  <c r="B109" i="2"/>
  <c r="B110" i="2"/>
  <c r="B2" i="2"/>
  <c r="B6" i="2"/>
  <c r="B7" i="2"/>
  <c r="B8" i="2"/>
  <c r="B9" i="2"/>
  <c r="B10" i="2"/>
  <c r="H3" i="2" s="1"/>
  <c r="B11" i="2"/>
  <c r="B12" i="2"/>
  <c r="B13" i="2"/>
  <c r="B14" i="2"/>
  <c r="B15" i="2"/>
  <c r="H41" i="2" s="1"/>
  <c r="B16" i="2"/>
  <c r="B17" i="2"/>
  <c r="H4" i="2" s="1"/>
  <c r="B18" i="2"/>
  <c r="B19" i="2"/>
  <c r="H63" i="2" s="1"/>
  <c r="B20" i="2"/>
  <c r="B21" i="2"/>
  <c r="B22" i="2"/>
  <c r="B23" i="2"/>
  <c r="H27" i="2" s="1"/>
  <c r="B24" i="2"/>
  <c r="B25" i="2"/>
  <c r="H64" i="2" s="1"/>
  <c r="B26" i="2"/>
  <c r="B27" i="2"/>
  <c r="B28" i="2"/>
  <c r="B29" i="2"/>
  <c r="H53" i="2" s="1"/>
  <c r="B30" i="2"/>
  <c r="B31" i="2"/>
  <c r="B32" i="2"/>
  <c r="B33" i="2"/>
  <c r="H93" i="2" s="1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H65" i="2" s="1"/>
  <c r="B48" i="2"/>
  <c r="H75" i="2" s="1"/>
  <c r="B49" i="2"/>
  <c r="B50" i="2"/>
  <c r="B51" i="2"/>
  <c r="H96" i="2" s="1"/>
  <c r="B52" i="2"/>
  <c r="H100" i="2" s="1"/>
  <c r="B53" i="2"/>
  <c r="B54" i="2"/>
  <c r="B55" i="2"/>
  <c r="B56" i="2"/>
  <c r="B57" i="2"/>
  <c r="B58" i="2"/>
  <c r="B59" i="2"/>
  <c r="B60" i="2"/>
  <c r="B61" i="2"/>
  <c r="B62" i="2"/>
  <c r="B63" i="2"/>
  <c r="H40" i="2" s="1"/>
  <c r="B64" i="2"/>
  <c r="B65" i="2"/>
  <c r="B66" i="2"/>
  <c r="B67" i="2"/>
  <c r="H82" i="2" s="1"/>
  <c r="B68" i="2"/>
  <c r="B69" i="2"/>
  <c r="H55" i="2" s="1"/>
  <c r="B70" i="2"/>
  <c r="B71" i="2"/>
  <c r="B72" i="2"/>
  <c r="B73" i="2"/>
  <c r="B74" i="2"/>
  <c r="B75" i="2"/>
  <c r="B76" i="2"/>
  <c r="B77" i="2"/>
  <c r="B78" i="2"/>
  <c r="B79" i="2"/>
  <c r="H21" i="2" s="1"/>
  <c r="B80" i="2"/>
  <c r="H88" i="2" s="1"/>
  <c r="B81" i="2"/>
  <c r="B82" i="2"/>
  <c r="B83" i="2"/>
  <c r="H16" i="2" s="1"/>
  <c r="B84" i="2"/>
  <c r="B85" i="2"/>
  <c r="B86" i="2"/>
  <c r="H51" i="2" s="1"/>
  <c r="B87" i="2"/>
  <c r="H15" i="2" s="1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H58" i="2" s="1"/>
  <c r="B104" i="2"/>
  <c r="B105" i="2"/>
  <c r="B106" i="2"/>
  <c r="B3" i="2"/>
  <c r="B4" i="2"/>
  <c r="B5" i="2"/>
  <c r="H107" i="2" l="1"/>
  <c r="H110" i="2"/>
  <c r="H109" i="2"/>
  <c r="H108" i="2"/>
  <c r="H97" i="2"/>
  <c r="H92" i="2"/>
  <c r="H72" i="2"/>
  <c r="H70" i="2"/>
  <c r="H60" i="2"/>
  <c r="H46" i="2"/>
  <c r="H45" i="2"/>
  <c r="H34" i="2"/>
  <c r="H90" i="2"/>
  <c r="H59" i="2"/>
  <c r="H32" i="2"/>
  <c r="H84" i="2"/>
  <c r="H31" i="2"/>
  <c r="H83" i="2"/>
  <c r="H57" i="2"/>
  <c r="H30" i="2"/>
  <c r="H2" i="2"/>
  <c r="H24" i="2"/>
  <c r="H106" i="2"/>
  <c r="H81" i="2"/>
  <c r="H48" i="2"/>
  <c r="H23" i="2"/>
  <c r="H105" i="2"/>
  <c r="H79" i="2"/>
  <c r="H47" i="2"/>
  <c r="H20" i="2"/>
  <c r="H18" i="2"/>
  <c r="H95" i="2"/>
  <c r="H69" i="2"/>
  <c r="H42" i="2"/>
  <c r="H11" i="2"/>
  <c r="H94" i="2"/>
  <c r="H68" i="2"/>
  <c r="H36" i="2"/>
  <c r="H9" i="2"/>
  <c r="H66" i="2"/>
  <c r="H35" i="2"/>
  <c r="H8" i="2"/>
  <c r="H71" i="2"/>
  <c r="H43" i="2"/>
  <c r="H98" i="2"/>
  <c r="H86" i="2"/>
  <c r="H74" i="2"/>
  <c r="H62" i="2"/>
  <c r="H50" i="2"/>
  <c r="H38" i="2"/>
  <c r="H26" i="2"/>
  <c r="H14" i="2"/>
  <c r="H85" i="2"/>
  <c r="H73" i="2"/>
  <c r="H61" i="2"/>
  <c r="H49" i="2"/>
  <c r="H37" i="2"/>
  <c r="H25" i="2"/>
  <c r="H13" i="2"/>
  <c r="H12" i="2"/>
  <c r="H22" i="2"/>
  <c r="H10" i="2"/>
  <c r="H33" i="2"/>
  <c r="H19" i="2"/>
  <c r="H54" i="2"/>
  <c r="H6" i="2"/>
  <c r="H101" i="2"/>
  <c r="H89" i="2"/>
  <c r="H77" i="2"/>
  <c r="H29" i="2"/>
  <c r="H17" i="2"/>
  <c r="H5" i="2"/>
  <c r="H104" i="2"/>
  <c r="H80" i="2"/>
  <c r="H44" i="2"/>
  <c r="H103" i="2"/>
  <c r="H67" i="2"/>
  <c r="H7" i="2"/>
  <c r="H102" i="2"/>
  <c r="H78" i="2"/>
  <c r="H76" i="2"/>
  <c r="H52" i="2"/>
  <c r="H28" i="2"/>
  <c r="H56" i="2"/>
  <c r="H91" i="2"/>
  <c r="H99" i="2"/>
  <c r="H87" i="2"/>
  <c r="H39" i="2"/>
</calcChain>
</file>

<file path=xl/sharedStrings.xml><?xml version="1.0" encoding="utf-8"?>
<sst xmlns="http://schemas.openxmlformats.org/spreadsheetml/2006/main" count="943" uniqueCount="426">
  <si>
    <t>Gender Code</t>
  </si>
  <si>
    <t>Birth Date</t>
  </si>
  <si>
    <t>Employment Type</t>
  </si>
  <si>
    <t>Last Hire Date</t>
  </si>
  <si>
    <t>Supervisor Name (Last Suffix, First MI)</t>
  </si>
  <si>
    <t>Job</t>
  </si>
  <si>
    <t>Preferred First Name</t>
  </si>
  <si>
    <t>Last Name</t>
  </si>
  <si>
    <t>First Name</t>
  </si>
  <si>
    <t>Adler, David</t>
  </si>
  <si>
    <t>M</t>
  </si>
  <si>
    <t>Local</t>
  </si>
  <si>
    <t>Hinton, Arthur</t>
  </si>
  <si>
    <t>R&amp;D Engineer</t>
  </si>
  <si>
    <t>Ben</t>
  </si>
  <si>
    <t>Adler</t>
  </si>
  <si>
    <t>David</t>
  </si>
  <si>
    <t>Ahmadi, Behnam</t>
  </si>
  <si>
    <t>Bernardino, Flavio E.</t>
  </si>
  <si>
    <t>Ahmadi</t>
  </si>
  <si>
    <t>Behnam</t>
  </si>
  <si>
    <t>Allgeier, Brian</t>
  </si>
  <si>
    <t>Butorin, Gregory</t>
  </si>
  <si>
    <t>Senior R&amp;D Engineer</t>
  </si>
  <si>
    <t>Allgeier</t>
  </si>
  <si>
    <t>Brian</t>
  </si>
  <si>
    <t>Altamirano, Moises</t>
  </si>
  <si>
    <t>Riddle, Brian</t>
  </si>
  <si>
    <t>R&amp;D Engineer â€“ Electronic</t>
  </si>
  <si>
    <t>Moises</t>
  </si>
  <si>
    <t>Altamirano</t>
  </si>
  <si>
    <t>Andrews, Shani</t>
  </si>
  <si>
    <t>F</t>
  </si>
  <si>
    <t>Dyment, Trevor</t>
  </si>
  <si>
    <t>Sr CMF Designer</t>
  </si>
  <si>
    <t>Andrews</t>
  </si>
  <si>
    <t>Shani</t>
  </si>
  <si>
    <t>Ardha, Vishwanath Reddy</t>
  </si>
  <si>
    <t>Leezer, David</t>
  </si>
  <si>
    <t>Principal R&amp;D Engineer</t>
  </si>
  <si>
    <t>Vish</t>
  </si>
  <si>
    <t>Ardha</t>
  </si>
  <si>
    <t>Vishwanath Reddy</t>
  </si>
  <si>
    <t>Armstrong III, James L.</t>
  </si>
  <si>
    <t>Conde Zelocuatecatl, Felix</t>
  </si>
  <si>
    <t>Sr Prin Inn &amp; Prod Plan</t>
  </si>
  <si>
    <t>Armstrong</t>
  </si>
  <si>
    <t>James</t>
  </si>
  <si>
    <t>Baldwin Jr., Donald W.</t>
  </si>
  <si>
    <t>Staff R&amp;D Engineer</t>
  </si>
  <si>
    <t>Donnie</t>
  </si>
  <si>
    <t>Baldwin</t>
  </si>
  <si>
    <t>Donald</t>
  </si>
  <si>
    <t>Schultz, Adam E.</t>
  </si>
  <si>
    <t>Eng Director, Platform</t>
  </si>
  <si>
    <t>Flavio</t>
  </si>
  <si>
    <t>Bernardino</t>
  </si>
  <si>
    <t>Bessette, Stephane</t>
  </si>
  <si>
    <t>Rames II, David E.</t>
  </si>
  <si>
    <t>Staff Tech Svs Spc RAC</t>
  </si>
  <si>
    <t>Stephane</t>
  </si>
  <si>
    <t>Bessette</t>
  </si>
  <si>
    <t>Bomar, Blake P.</t>
  </si>
  <si>
    <t>Hunter, Matthew</t>
  </si>
  <si>
    <t>Staff R&amp;D Engineer â€“ SDA</t>
  </si>
  <si>
    <t>Bomar</t>
  </si>
  <si>
    <t>Blake</t>
  </si>
  <si>
    <t>Boyer, Joel C.</t>
  </si>
  <si>
    <t>Boyer</t>
  </si>
  <si>
    <t>Joel</t>
  </si>
  <si>
    <t>Bultemeier, Kaitlyn</t>
  </si>
  <si>
    <t>Davis, Matthew W.</t>
  </si>
  <si>
    <t>Electrical Engineer - REF</t>
  </si>
  <si>
    <t>Bultemeier</t>
  </si>
  <si>
    <t>Kaitlyn</t>
  </si>
  <si>
    <t>Bultman, Robert M.</t>
  </si>
  <si>
    <t>Engineering Director-loT</t>
  </si>
  <si>
    <t>Rob</t>
  </si>
  <si>
    <t>Bultman</t>
  </si>
  <si>
    <t>Robert</t>
  </si>
  <si>
    <t>Butler, DeMarkus</t>
  </si>
  <si>
    <t>CMI Data Scientist â€“ KWHA</t>
  </si>
  <si>
    <t>Butler</t>
  </si>
  <si>
    <t>DeMarkus</t>
  </si>
  <si>
    <t>Engineering Mgr - REF R&amp;D</t>
  </si>
  <si>
    <t>Greg</t>
  </si>
  <si>
    <t>Butorin</t>
  </si>
  <si>
    <t>Gregory</t>
  </si>
  <si>
    <t>Cardwell II, Charles A.</t>
  </si>
  <si>
    <t>Lab Technician</t>
  </si>
  <si>
    <t>Cardwell II</t>
  </si>
  <si>
    <t>Charles</t>
  </si>
  <si>
    <t>Chapin, Zachary D.</t>
  </si>
  <si>
    <t>Sr Eng Dir, RAC Platform</t>
  </si>
  <si>
    <t>Zack</t>
  </si>
  <si>
    <t>Chapin</t>
  </si>
  <si>
    <t>Zachary</t>
  </si>
  <si>
    <t>Cheatham, Eric L.</t>
  </si>
  <si>
    <t>Eric</t>
  </si>
  <si>
    <t>Cheatham</t>
  </si>
  <si>
    <t>Chernov, Gregory S.</t>
  </si>
  <si>
    <t>Prince, Ryan</t>
  </si>
  <si>
    <t>Distinguished R&amp;D Engr</t>
  </si>
  <si>
    <t>Chernov</t>
  </si>
  <si>
    <t>Chinberg, Sarah</t>
  </si>
  <si>
    <t>Agency Engineer- RAC</t>
  </si>
  <si>
    <t>Sarah</t>
  </si>
  <si>
    <t>Chinberg</t>
  </si>
  <si>
    <t>Felix</t>
  </si>
  <si>
    <t>Conde Zelocuatecatl</t>
  </si>
  <si>
    <t>Dale, Jerrold S.</t>
  </si>
  <si>
    <t>Hervol, Eric T.</t>
  </si>
  <si>
    <t>Senior Staff Engineer</t>
  </si>
  <si>
    <t>Jerry</t>
  </si>
  <si>
    <t>Dale</t>
  </si>
  <si>
    <t>Jerrold</t>
  </si>
  <si>
    <t>Matt</t>
  </si>
  <si>
    <t>Davis</t>
  </si>
  <si>
    <t>Matthew</t>
  </si>
  <si>
    <t>DeRossett, Andrew Q.</t>
  </si>
  <si>
    <t>Prod Planning Eng - RAC</t>
  </si>
  <si>
    <t>Andy</t>
  </si>
  <si>
    <t>DeRossett</t>
  </si>
  <si>
    <t>Andrew</t>
  </si>
  <si>
    <t>Diehl, Ronald A.</t>
  </si>
  <si>
    <t>Cooking Products Engineer</t>
  </si>
  <si>
    <t>Diehl</t>
  </si>
  <si>
    <t>Ronald</t>
  </si>
  <si>
    <t>Dietrich, Russell D.</t>
  </si>
  <si>
    <t>Dietrich</t>
  </si>
  <si>
    <t>Russell</t>
  </si>
  <si>
    <t>Sr Industrial Designer</t>
  </si>
  <si>
    <t>Dyment</t>
  </si>
  <si>
    <t>Trevor</t>
  </si>
  <si>
    <t>Ewing, Cody</t>
  </si>
  <si>
    <t>Ewing</t>
  </si>
  <si>
    <t>Cody</t>
  </si>
  <si>
    <t>Fawaz, Bassam</t>
  </si>
  <si>
    <t>Senior Engineer- DW</t>
  </si>
  <si>
    <t>Fawaz</t>
  </si>
  <si>
    <t>Bassam</t>
  </si>
  <si>
    <t>Feng, Yinshan</t>
  </si>
  <si>
    <t>Fellow R&amp;D Eng Tm Ld- RAC</t>
  </si>
  <si>
    <t>Yinshan</t>
  </si>
  <si>
    <t>Feng</t>
  </si>
  <si>
    <t>Fischer, Richard</t>
  </si>
  <si>
    <t>MARC Expansion Director</t>
  </si>
  <si>
    <t>Rick</t>
  </si>
  <si>
    <t>Fischer</t>
  </si>
  <si>
    <t>Richard</t>
  </si>
  <si>
    <t>Fortier Sr., Steven D.</t>
  </si>
  <si>
    <t>Staff R&amp;D Eng-LAD Sfty</t>
  </si>
  <si>
    <t>Steve</t>
  </si>
  <si>
    <t>Fortier</t>
  </si>
  <si>
    <t>Steven</t>
  </si>
  <si>
    <t>Fowler, Simon</t>
  </si>
  <si>
    <t>Scalf, Eric L.</t>
  </si>
  <si>
    <t>Fowler</t>
  </si>
  <si>
    <t>Simon</t>
  </si>
  <si>
    <t>Gagel, Jared K.</t>
  </si>
  <si>
    <t>Lab Technician - SDA</t>
  </si>
  <si>
    <t>Jared</t>
  </si>
  <si>
    <t>Gagel</t>
  </si>
  <si>
    <t>Gaunt, William M.</t>
  </si>
  <si>
    <t>Michael</t>
  </si>
  <si>
    <t>Gaunt</t>
  </si>
  <si>
    <t>William</t>
  </si>
  <si>
    <t>Gernert Esq., Susan R.</t>
  </si>
  <si>
    <t>Regulatory Counsel</t>
  </si>
  <si>
    <t>Susan</t>
  </si>
  <si>
    <t>Gernert</t>
  </si>
  <si>
    <t>Gilmore, Kimberly</t>
  </si>
  <si>
    <t>Sr Consumer Insights Spec</t>
  </si>
  <si>
    <t>Gilmore</t>
  </si>
  <si>
    <t>Kimberly</t>
  </si>
  <si>
    <t>Goncalez Ribeiro, Andre</t>
  </si>
  <si>
    <t>Andre</t>
  </si>
  <si>
    <t>Goncalez Ribeiro</t>
  </si>
  <si>
    <t>Grant, Michael</t>
  </si>
  <si>
    <t>Sr. Test Engineer loT-PM</t>
  </si>
  <si>
    <t>Grant</t>
  </si>
  <si>
    <t>Grant, Russell C.</t>
  </si>
  <si>
    <t>Prin Con Ins Spec &amp; UX Re</t>
  </si>
  <si>
    <t>Gray, Joel M.</t>
  </si>
  <si>
    <t>Gray</t>
  </si>
  <si>
    <t>Green, Angeline L.</t>
  </si>
  <si>
    <t>Office Manager</t>
  </si>
  <si>
    <t>Angeline</t>
  </si>
  <si>
    <t>Green</t>
  </si>
  <si>
    <t>He, Chuan</t>
  </si>
  <si>
    <t>He</t>
  </si>
  <si>
    <t>Chuan</t>
  </si>
  <si>
    <t>Heimann, Joshua P.</t>
  </si>
  <si>
    <t>Sr. Innovation Engineer</t>
  </si>
  <si>
    <t>Josh</t>
  </si>
  <si>
    <t>Heimann</t>
  </si>
  <si>
    <t>Joshua</t>
  </si>
  <si>
    <t>Eng Director,CAC/Ductless</t>
  </si>
  <si>
    <t>Hervol</t>
  </si>
  <si>
    <t>Tech Product Manager</t>
  </si>
  <si>
    <t>Arthur</t>
  </si>
  <si>
    <t>Hinton</t>
  </si>
  <si>
    <t>Hofmann, Adam</t>
  </si>
  <si>
    <t>Hofmann</t>
  </si>
  <si>
    <t>Adam</t>
  </si>
  <si>
    <t>Hombroek, Phillip</t>
  </si>
  <si>
    <t>Head Reg Affairs Prod Com</t>
  </si>
  <si>
    <t>Hombroek</t>
  </si>
  <si>
    <t>Phillip</t>
  </si>
  <si>
    <t>Hooker, John K.</t>
  </si>
  <si>
    <t>Sr Staff Eng.-Electronics</t>
  </si>
  <si>
    <t>Hooker</t>
  </si>
  <si>
    <t>John</t>
  </si>
  <si>
    <t>Hunter</t>
  </si>
  <si>
    <t>Irwin, Robert P.</t>
  </si>
  <si>
    <t>Sr Specialist-Ind Design</t>
  </si>
  <si>
    <t>Irwin</t>
  </si>
  <si>
    <t>James, Michael E.</t>
  </si>
  <si>
    <t>Eng Mgr- RAC Quality</t>
  </si>
  <si>
    <t>Jenkins, Seth J.</t>
  </si>
  <si>
    <t>Mastin, Wyman C.</t>
  </si>
  <si>
    <t>Jr Industrial Designer</t>
  </si>
  <si>
    <t>Seth</t>
  </si>
  <si>
    <t>Jenkins</t>
  </si>
  <si>
    <t>Johnson, Michele H.</t>
  </si>
  <si>
    <t>Director-Product Planning</t>
  </si>
  <si>
    <t>Michele</t>
  </si>
  <si>
    <t>Johnson</t>
  </si>
  <si>
    <t>Junglas, Hannah E.</t>
  </si>
  <si>
    <t>Hannah</t>
  </si>
  <si>
    <t>Junglas</t>
  </si>
  <si>
    <t>Kling, Allison</t>
  </si>
  <si>
    <t>Yu, Xiaotong</t>
  </si>
  <si>
    <t>Specialist - HR</t>
  </si>
  <si>
    <t>Alli</t>
  </si>
  <si>
    <t>Kling</t>
  </si>
  <si>
    <t>Allison</t>
  </si>
  <si>
    <t>Koppenhoefer, Lara</t>
  </si>
  <si>
    <t>Principal Consumer Insigh</t>
  </si>
  <si>
    <t>Koppenhoefer</t>
  </si>
  <si>
    <t>Lara</t>
  </si>
  <si>
    <t>Kratzsch, Kyle</t>
  </si>
  <si>
    <t>Sr Principl Prod Safe Eng</t>
  </si>
  <si>
    <t>Kyle</t>
  </si>
  <si>
    <t>Kratzsch</t>
  </si>
  <si>
    <t>Langness, Brian M.</t>
  </si>
  <si>
    <t>Langness</t>
  </si>
  <si>
    <t>Leal Odreman, Ernesto J.</t>
  </si>
  <si>
    <t>Sr Regulatory Engineer</t>
  </si>
  <si>
    <t>Ernesto</t>
  </si>
  <si>
    <t>Leal Odreman</t>
  </si>
  <si>
    <t>Eng Director,Retail AC</t>
  </si>
  <si>
    <t>Leezer</t>
  </si>
  <si>
    <t>Leonard, Erin</t>
  </si>
  <si>
    <t>Staff R&amp;D Eng-REF Reg&amp;Sta</t>
  </si>
  <si>
    <t>Leonard</t>
  </si>
  <si>
    <t>Erin</t>
  </si>
  <si>
    <t>Li Ph.D., Wenhua</t>
  </si>
  <si>
    <t>Sr Principal R&amp;D Engineer</t>
  </si>
  <si>
    <t>Li</t>
  </si>
  <si>
    <t>Wenhua</t>
  </si>
  <si>
    <t>Lopez Juarez, Antonio</t>
  </si>
  <si>
    <t>Antonio</t>
  </si>
  <si>
    <t>Lopez Juarez</t>
  </si>
  <si>
    <t>Mack, Abigail L.</t>
  </si>
  <si>
    <t>Abby</t>
  </si>
  <si>
    <t>Mack</t>
  </si>
  <si>
    <t>Abigail</t>
  </si>
  <si>
    <t>Manrique Vazquez, Victor H.</t>
  </si>
  <si>
    <t>Victor</t>
  </si>
  <si>
    <t>Manrique Vazquez</t>
  </si>
  <si>
    <t>Industrial Design Manager</t>
  </si>
  <si>
    <t>Wyman</t>
  </si>
  <si>
    <t>Mastin</t>
  </si>
  <si>
    <t>McDowell, Irena J.</t>
  </si>
  <si>
    <t>Distinguished Eng-IOT-RAC</t>
  </si>
  <si>
    <t>McDowell</t>
  </si>
  <si>
    <t>Irena</t>
  </si>
  <si>
    <t>Meyer, Daniel</t>
  </si>
  <si>
    <t>Sr Mgr-Tch/Res&amp;Design</t>
  </si>
  <si>
    <t>Meyer</t>
  </si>
  <si>
    <t>Daniel</t>
  </si>
  <si>
    <t>Montalvo Sanchez, Jorge C.</t>
  </si>
  <si>
    <t>Jorge</t>
  </si>
  <si>
    <t>Montalvo Sanchez</t>
  </si>
  <si>
    <t>Mulzer-Burgess, Megan</t>
  </si>
  <si>
    <t>Specialist-Consumer Rsrch</t>
  </si>
  <si>
    <t>Megan</t>
  </si>
  <si>
    <t>Mulzer-Burgess</t>
  </si>
  <si>
    <t>Naik, Vinayak</t>
  </si>
  <si>
    <t>Sr Staff R&amp;D Engineer</t>
  </si>
  <si>
    <t>Naik</t>
  </si>
  <si>
    <t>Vinayak</t>
  </si>
  <si>
    <t>Ni, Shuangyao</t>
  </si>
  <si>
    <t>Sr Staff R&amp;D Engineer- WH</t>
  </si>
  <si>
    <t>Shuangyao</t>
  </si>
  <si>
    <t>Ni</t>
  </si>
  <si>
    <t>Payne, Holly A.</t>
  </si>
  <si>
    <t>Junior Engineer</t>
  </si>
  <si>
    <t>Holly</t>
  </si>
  <si>
    <t>Payne</t>
  </si>
  <si>
    <t>Persaud, Ryan</t>
  </si>
  <si>
    <t>BD &amp; Tech Support Eng-SDA</t>
  </si>
  <si>
    <t>Persaud</t>
  </si>
  <si>
    <t>Ryan</t>
  </si>
  <si>
    <t>Poulin, Dominic</t>
  </si>
  <si>
    <t>Customer Service Spec</t>
  </si>
  <si>
    <t>Poulin</t>
  </si>
  <si>
    <t>Dominic</t>
  </si>
  <si>
    <t>Prince</t>
  </si>
  <si>
    <t>Prod Directr Ctrl AC Team</t>
  </si>
  <si>
    <t>Rames</t>
  </si>
  <si>
    <t>Ratcliff, Brittany</t>
  </si>
  <si>
    <t>Specialist - Lab</t>
  </si>
  <si>
    <t>Ratcliff</t>
  </si>
  <si>
    <t>Brittany</t>
  </si>
  <si>
    <t>Ray, Paige</t>
  </si>
  <si>
    <t>CMI Data Scientist</t>
  </si>
  <si>
    <t>Paige</t>
  </si>
  <si>
    <t>Ray</t>
  </si>
  <si>
    <t>Riddle</t>
  </si>
  <si>
    <t>Rivera, Angela</t>
  </si>
  <si>
    <t>Lab Manager</t>
  </si>
  <si>
    <t>Rivera</t>
  </si>
  <si>
    <t>Angela</t>
  </si>
  <si>
    <t>Rowe, Dylan T.</t>
  </si>
  <si>
    <t>Rowe</t>
  </si>
  <si>
    <t>Dylan</t>
  </si>
  <si>
    <t>Scalf</t>
  </si>
  <si>
    <t>Executive Director</t>
  </si>
  <si>
    <t>Schultz</t>
  </si>
  <si>
    <t>Scott, Eric</t>
  </si>
  <si>
    <t>Scott</t>
  </si>
  <si>
    <t>Shaffer, Ryan J.</t>
  </si>
  <si>
    <t>Shaffer</t>
  </si>
  <si>
    <t>Shah, Shailee Milind</t>
  </si>
  <si>
    <t>Consumr Rsrch Spec - KWHA</t>
  </si>
  <si>
    <t>Shah</t>
  </si>
  <si>
    <t>Shailee Milind</t>
  </si>
  <si>
    <t>Shuck, Jessica</t>
  </si>
  <si>
    <t>Manager-Consumer Insights</t>
  </si>
  <si>
    <t>Shuck</t>
  </si>
  <si>
    <t>Jessica</t>
  </si>
  <si>
    <t>Snook, Bryan T.</t>
  </si>
  <si>
    <t>Staff R&amp;D Engineer - LAD</t>
  </si>
  <si>
    <t>Snook</t>
  </si>
  <si>
    <t>Bryan</t>
  </si>
  <si>
    <t>Sosebee, Jeffrey S.</t>
  </si>
  <si>
    <t>IT Site Leader</t>
  </si>
  <si>
    <t>Jeff</t>
  </si>
  <si>
    <t>Sosebee</t>
  </si>
  <si>
    <t>Jeffrey</t>
  </si>
  <si>
    <t>Surwillo, Melissa A.</t>
  </si>
  <si>
    <t>Surwillo</t>
  </si>
  <si>
    <t>Melissa</t>
  </si>
  <si>
    <t>Thomas, Gregory M.</t>
  </si>
  <si>
    <t>Sr Staff Agency Engineer</t>
  </si>
  <si>
    <t>Thomas</t>
  </si>
  <si>
    <t>Vu, Hieu M.</t>
  </si>
  <si>
    <t>Hieu</t>
  </si>
  <si>
    <t>Vu</t>
  </si>
  <si>
    <t>Wadke, Rahul A.</t>
  </si>
  <si>
    <t>Rahul</t>
  </si>
  <si>
    <t>Wadke</t>
  </si>
  <si>
    <t>Waid-Jones, Austin C.</t>
  </si>
  <si>
    <t>Sr Product Design Eng</t>
  </si>
  <si>
    <t>Waid-Jones</t>
  </si>
  <si>
    <t>Austin</t>
  </si>
  <si>
    <t>Wang, Qi</t>
  </si>
  <si>
    <t>Senior Patent Agent</t>
  </si>
  <si>
    <t>Wang</t>
  </si>
  <si>
    <t>Qi</t>
  </si>
  <si>
    <t>Williams, Craig</t>
  </si>
  <si>
    <t>Distinguished Elect Engr</t>
  </si>
  <si>
    <t>Craig</t>
  </si>
  <si>
    <t>Williams</t>
  </si>
  <si>
    <t>Yang, Weiqun</t>
  </si>
  <si>
    <t>Yang</t>
  </si>
  <si>
    <t>Weiqun</t>
  </si>
  <si>
    <t>Yin, Jiang</t>
  </si>
  <si>
    <t>Yin</t>
  </si>
  <si>
    <t>Jiang</t>
  </si>
  <si>
    <t>Mgr., HR</t>
  </si>
  <si>
    <t>Meredith</t>
  </si>
  <si>
    <t>Yu</t>
  </si>
  <si>
    <t>Xiaotong</t>
  </si>
  <si>
    <t>Zhang, Guojun</t>
  </si>
  <si>
    <t>Associate Executive Direc</t>
  </si>
  <si>
    <t>Henry</t>
  </si>
  <si>
    <t>Zhang</t>
  </si>
  <si>
    <t>Guojun</t>
  </si>
  <si>
    <t>Zhang, Zhennan</t>
  </si>
  <si>
    <t>Zhennan</t>
  </si>
  <si>
    <t>Zhuo, Wentao</t>
  </si>
  <si>
    <t>Jason</t>
  </si>
  <si>
    <t>Zhuo</t>
  </si>
  <si>
    <t>Wentao</t>
  </si>
  <si>
    <t>Full name</t>
  </si>
  <si>
    <t>KWHA</t>
  </si>
  <si>
    <t>LAD</t>
  </si>
  <si>
    <t>REF</t>
  </si>
  <si>
    <t>RAC</t>
  </si>
  <si>
    <t>CAD</t>
  </si>
  <si>
    <t>MOA</t>
  </si>
  <si>
    <t>CRC</t>
  </si>
  <si>
    <t>SDA</t>
  </si>
  <si>
    <t>PD</t>
  </si>
  <si>
    <t>supervisor full name</t>
  </si>
  <si>
    <t>employee name</t>
  </si>
  <si>
    <t>Bao Ph.D., Tao</t>
  </si>
  <si>
    <t>Expat</t>
  </si>
  <si>
    <t>Tao</t>
  </si>
  <si>
    <t>Bao</t>
  </si>
  <si>
    <t>Peng, Guanhua</t>
  </si>
  <si>
    <t>Prod Development Engineer</t>
  </si>
  <si>
    <t>Peng</t>
  </si>
  <si>
    <t>Guanhua</t>
  </si>
  <si>
    <t>Wang, Zhenpu</t>
  </si>
  <si>
    <t>Performance Engineer</t>
  </si>
  <si>
    <t>Evan</t>
  </si>
  <si>
    <t>Zhenpu</t>
  </si>
  <si>
    <t>Zhang, Haochen</t>
  </si>
  <si>
    <t>Finance Specialist</t>
  </si>
  <si>
    <t>Hazan</t>
  </si>
  <si>
    <t>Haochen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</si>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</sst>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F635-EB0E-4530-A455-9CA05879D527}">
  <dimension ref="A1:M110"/>
  <sheetViews>
    <sheetView tabSelected="1" workbookViewId="0">
      <pane ySplit="1" topLeftCell="A74" activePane="bottomLeft" state="frozen"/>
      <selection pane="bottomLeft" activeCell="E96" sqref="E96"/>
    </sheetView>
  </sheetViews>
  <sheetFormatPr defaultRowHeight="14.4" x14ac:dyDescent="0.3"/>
  <cols>
    <col min="1" max="1" width="19.44140625" customWidth="1"/>
    <col min="2" max="2" width="23.33203125" customWidth="1"/>
    <col min="3" max="3" width="16.109375" customWidth="1"/>
    <col min="4" max="4" width="15" customWidth="1"/>
    <col min="5" max="5" width="15.88671875" customWidth="1"/>
    <col min="6" max="6" width="20.77734375" customWidth="1"/>
    <col min="7" max="7" width="16" customWidth="1"/>
    <col min="8" max="8" width="23.77734375" customWidth="1"/>
    <col min="9" max="9" width="26.88671875" customWidth="1"/>
    <col min="10" max="10" width="29.109375" customWidth="1"/>
    <col min="11" max="11" width="16.77734375" customWidth="1"/>
  </cols>
  <sheetData>
    <row r="1" spans="1:13" x14ac:dyDescent="0.3">
      <c r="A1" t="s">
        <v>408</v>
      </c>
      <c r="B1" t="s">
        <v>397</v>
      </c>
      <c r="C1" t="s">
        <v>0</v>
      </c>
      <c r="D1" t="s">
        <v>1</v>
      </c>
      <c r="E1" t="s">
        <v>406</v>
      </c>
      <c r="F1" t="s">
        <v>2</v>
      </c>
      <c r="G1" t="s">
        <v>3</v>
      </c>
      <c r="H1" t="s">
        <v>407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3">
      <c r="A2" t="s">
        <v>9</v>
      </c>
      <c r="B2" t="str">
        <f>IF(L2&lt;&gt;"", L2 &amp; " " &amp; M2, N2 &amp; " " &amp; M2)</f>
        <v>Adler David</v>
      </c>
      <c r="C2" t="s">
        <v>10</v>
      </c>
      <c r="D2" s="1">
        <v>35494</v>
      </c>
      <c r="E2" t="s">
        <v>398</v>
      </c>
      <c r="F2" t="s">
        <v>11</v>
      </c>
      <c r="G2" s="1">
        <v>45593</v>
      </c>
      <c r="H2" s="1" t="str">
        <f>VLOOKUP(I2, A:B, 2, FALSE)</f>
        <v>Arthur Hinton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3">
      <c r="A3" t="s">
        <v>17</v>
      </c>
      <c r="B3" t="str">
        <f>IF(K3&lt;&gt;"", K3 &amp; " " &amp; L3, M3 &amp; " " &amp; L3)</f>
        <v>Behnam Ahmadi</v>
      </c>
      <c r="C3" t="s">
        <v>10</v>
      </c>
      <c r="D3" s="1">
        <v>33318</v>
      </c>
      <c r="E3" t="s">
        <v>399</v>
      </c>
      <c r="F3" t="s">
        <v>11</v>
      </c>
      <c r="G3" s="1">
        <v>45565</v>
      </c>
      <c r="H3" s="1" t="str">
        <f>VLOOKUP(I3, A:B, 2, FALSE)</f>
        <v>Flavio Bernardino</v>
      </c>
      <c r="I3" t="s">
        <v>18</v>
      </c>
      <c r="J3" t="s">
        <v>13</v>
      </c>
      <c r="L3" t="s">
        <v>19</v>
      </c>
      <c r="M3" t="s">
        <v>20</v>
      </c>
    </row>
    <row r="4" spans="1:13" x14ac:dyDescent="0.3">
      <c r="A4" t="s">
        <v>21</v>
      </c>
      <c r="B4" t="str">
        <f>IF(K4&lt;&gt;"", K4 &amp; " " &amp; L4, M4 &amp; " " &amp; L4)</f>
        <v>Brian Allgeier</v>
      </c>
      <c r="C4" t="s">
        <v>10</v>
      </c>
      <c r="D4" s="1">
        <v>34487</v>
      </c>
      <c r="E4" t="s">
        <v>400</v>
      </c>
      <c r="F4" t="s">
        <v>11</v>
      </c>
      <c r="G4" s="1">
        <v>45742</v>
      </c>
      <c r="H4" s="1" t="str">
        <f>VLOOKUP(I4, A:B, 2, FALSE)</f>
        <v>Greg Butorin</v>
      </c>
      <c r="I4" t="s">
        <v>22</v>
      </c>
      <c r="J4" t="s">
        <v>23</v>
      </c>
      <c r="L4" t="s">
        <v>24</v>
      </c>
      <c r="M4" t="s">
        <v>25</v>
      </c>
    </row>
    <row r="5" spans="1:13" x14ac:dyDescent="0.3">
      <c r="A5" t="s">
        <v>26</v>
      </c>
      <c r="B5" t="str">
        <f>IF(K5&lt;&gt;"", K5 &amp; " " &amp; L5, M5 &amp; " " &amp; L5)</f>
        <v>Moises Altamirano</v>
      </c>
      <c r="C5" t="s">
        <v>10</v>
      </c>
      <c r="D5" s="1">
        <v>34223</v>
      </c>
      <c r="E5" t="s">
        <v>398</v>
      </c>
      <c r="F5" t="s">
        <v>11</v>
      </c>
      <c r="G5" s="1">
        <v>45355</v>
      </c>
      <c r="H5" s="1" t="str">
        <f>VLOOKUP(I5, A:B, 2, FALSE)</f>
        <v>Brian Riddle</v>
      </c>
      <c r="I5" t="s">
        <v>27</v>
      </c>
      <c r="J5" t="s">
        <v>28</v>
      </c>
      <c r="K5" t="s">
        <v>29</v>
      </c>
      <c r="L5" t="s">
        <v>30</v>
      </c>
      <c r="M5" t="s">
        <v>29</v>
      </c>
    </row>
    <row r="6" spans="1:13" x14ac:dyDescent="0.3">
      <c r="A6" t="s">
        <v>31</v>
      </c>
      <c r="B6" t="str">
        <f>IF(K6&lt;&gt;"", K6 &amp; " " &amp; L6, M6 &amp; " " &amp; L6)</f>
        <v>Shani Andrews</v>
      </c>
      <c r="C6" t="s">
        <v>32</v>
      </c>
      <c r="D6" s="1">
        <v>32772</v>
      </c>
      <c r="E6" t="s">
        <v>402</v>
      </c>
      <c r="F6" t="s">
        <v>11</v>
      </c>
      <c r="G6" s="1">
        <v>45628</v>
      </c>
      <c r="H6" s="1" t="str">
        <f>VLOOKUP(I6, A:B, 2, FALSE)</f>
        <v>Trevor Dyment</v>
      </c>
      <c r="I6" t="s">
        <v>33</v>
      </c>
      <c r="J6" t="s">
        <v>34</v>
      </c>
      <c r="L6" t="s">
        <v>35</v>
      </c>
      <c r="M6" t="s">
        <v>36</v>
      </c>
    </row>
    <row r="7" spans="1:13" x14ac:dyDescent="0.3">
      <c r="A7" t="s">
        <v>37</v>
      </c>
      <c r="B7" t="str">
        <f>IF(K7&lt;&gt;"", K7 &amp; " " &amp; L7, M7 &amp; " " &amp; L7)</f>
        <v>Vish Ardha</v>
      </c>
      <c r="C7" t="s">
        <v>10</v>
      </c>
      <c r="D7" s="1">
        <v>31457</v>
      </c>
      <c r="E7" t="s">
        <v>401</v>
      </c>
      <c r="F7" t="s">
        <v>11</v>
      </c>
      <c r="G7" s="1">
        <v>45754</v>
      </c>
      <c r="H7" s="1" t="str">
        <f>VLOOKUP(I7, A:B, 2, FALSE)</f>
        <v>David Leezer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 spans="1:13" x14ac:dyDescent="0.3">
      <c r="A8" t="s">
        <v>43</v>
      </c>
      <c r="B8" t="str">
        <f>IF(K8&lt;&gt;"", K8 &amp; " " &amp; L8, M8 &amp; " " &amp; L8)</f>
        <v>James Armstrong</v>
      </c>
      <c r="C8" t="s">
        <v>10</v>
      </c>
      <c r="D8" s="1">
        <v>28695</v>
      </c>
      <c r="E8" t="s">
        <v>403</v>
      </c>
      <c r="F8" t="s">
        <v>11</v>
      </c>
      <c r="G8" s="1">
        <v>45744</v>
      </c>
      <c r="H8" s="1" t="str">
        <f>VLOOKUP(I8, A:B, 2, FALSE)</f>
        <v>Felix Conde Zelocuatecatl</v>
      </c>
      <c r="I8" t="s">
        <v>44</v>
      </c>
      <c r="J8" t="s">
        <v>45</v>
      </c>
      <c r="L8" t="s">
        <v>46</v>
      </c>
      <c r="M8" t="s">
        <v>47</v>
      </c>
    </row>
    <row r="9" spans="1:13" x14ac:dyDescent="0.3">
      <c r="A9" t="s">
        <v>48</v>
      </c>
      <c r="B9" t="str">
        <f>IF(K9&lt;&gt;"", K9 &amp; " " &amp; L9, M9 &amp; " " &amp; L9)</f>
        <v>Donnie Baldwin</v>
      </c>
      <c r="C9" t="s">
        <v>10</v>
      </c>
      <c r="D9" s="1">
        <v>27792</v>
      </c>
      <c r="E9" t="s">
        <v>401</v>
      </c>
      <c r="F9" t="s">
        <v>11</v>
      </c>
      <c r="G9" s="1">
        <v>44984</v>
      </c>
      <c r="H9" s="1" t="str">
        <f>VLOOKUP(I9, A:B, 2, FALSE)</f>
        <v>David Leezer</v>
      </c>
      <c r="I9" t="s">
        <v>38</v>
      </c>
      <c r="J9" t="s">
        <v>49</v>
      </c>
      <c r="K9" t="s">
        <v>50</v>
      </c>
      <c r="L9" t="s">
        <v>51</v>
      </c>
      <c r="M9" t="s">
        <v>52</v>
      </c>
    </row>
    <row r="10" spans="1:13" x14ac:dyDescent="0.3">
      <c r="A10" t="s">
        <v>18</v>
      </c>
      <c r="B10" t="str">
        <f>IF(K10&lt;&gt;"", K10 &amp; " " &amp; L10, M10 &amp; " " &amp; L10)</f>
        <v>Flavio Bernardino</v>
      </c>
      <c r="C10" t="s">
        <v>10</v>
      </c>
      <c r="D10" s="1">
        <v>25108</v>
      </c>
      <c r="E10" t="s">
        <v>399</v>
      </c>
      <c r="F10" t="s">
        <v>11</v>
      </c>
      <c r="G10" s="1">
        <v>45432</v>
      </c>
      <c r="H10" s="1" t="str">
        <f>VLOOKUP(I10, A:B, 2, FALSE)</f>
        <v>Adam Schultz</v>
      </c>
      <c r="I10" t="s">
        <v>53</v>
      </c>
      <c r="J10" t="s">
        <v>54</v>
      </c>
      <c r="K10" t="s">
        <v>55</v>
      </c>
      <c r="L10" t="s">
        <v>56</v>
      </c>
      <c r="M10" t="s">
        <v>55</v>
      </c>
    </row>
    <row r="11" spans="1:13" x14ac:dyDescent="0.3">
      <c r="A11" t="s">
        <v>57</v>
      </c>
      <c r="B11" t="str">
        <f>IF(K11&lt;&gt;"", K11 &amp; " " &amp; L11, M11 &amp; " " &amp; L11)</f>
        <v>Stephane Bessette</v>
      </c>
      <c r="C11" t="s">
        <v>10</v>
      </c>
      <c r="D11" s="1">
        <v>24091</v>
      </c>
      <c r="E11" t="s">
        <v>401</v>
      </c>
      <c r="F11" t="s">
        <v>11</v>
      </c>
      <c r="G11" s="1">
        <v>45082</v>
      </c>
      <c r="H11" s="1" t="str">
        <f>VLOOKUP(I11, A:B, 2, FALSE)</f>
        <v>David Rames</v>
      </c>
      <c r="I11" t="s">
        <v>58</v>
      </c>
      <c r="J11" t="s">
        <v>59</v>
      </c>
      <c r="K11" t="s">
        <v>60</v>
      </c>
      <c r="L11" t="s">
        <v>61</v>
      </c>
      <c r="M11" t="s">
        <v>60</v>
      </c>
    </row>
    <row r="12" spans="1:13" x14ac:dyDescent="0.3">
      <c r="A12" t="s">
        <v>62</v>
      </c>
      <c r="B12" t="str">
        <f>IF(K12&lt;&gt;"", K12 &amp; " " &amp; L12, M12 &amp; " " &amp; L12)</f>
        <v>Blake Bomar</v>
      </c>
      <c r="C12" t="s">
        <v>10</v>
      </c>
      <c r="D12" s="1">
        <v>31071</v>
      </c>
      <c r="E12" t="s">
        <v>405</v>
      </c>
      <c r="F12" t="s">
        <v>11</v>
      </c>
      <c r="G12" s="1">
        <v>45238</v>
      </c>
      <c r="H12" s="1" t="str">
        <f>VLOOKUP(I12, A:B, 2, FALSE)</f>
        <v>Matt Hunter</v>
      </c>
      <c r="I12" t="s">
        <v>63</v>
      </c>
      <c r="J12" t="s">
        <v>64</v>
      </c>
      <c r="L12" t="s">
        <v>65</v>
      </c>
      <c r="M12" t="s">
        <v>66</v>
      </c>
    </row>
    <row r="13" spans="1:13" x14ac:dyDescent="0.3">
      <c r="A13" t="s">
        <v>67</v>
      </c>
      <c r="B13" t="str">
        <f>IF(K13&lt;&gt;"", K13 &amp; " " &amp; L13, M13 &amp; " " &amp; L13)</f>
        <v>Joel Boyer</v>
      </c>
      <c r="C13" t="s">
        <v>10</v>
      </c>
      <c r="D13" s="1">
        <v>30749</v>
      </c>
      <c r="E13" t="s">
        <v>398</v>
      </c>
      <c r="F13" t="s">
        <v>11</v>
      </c>
      <c r="G13" s="1">
        <v>43005</v>
      </c>
      <c r="H13" s="1" t="str">
        <f>VLOOKUP(I13, A:B, 2, FALSE)</f>
        <v>Brian Riddle</v>
      </c>
      <c r="I13" t="s">
        <v>27</v>
      </c>
      <c r="J13" t="s">
        <v>49</v>
      </c>
      <c r="L13" t="s">
        <v>68</v>
      </c>
      <c r="M13" t="s">
        <v>69</v>
      </c>
    </row>
    <row r="14" spans="1:13" x14ac:dyDescent="0.3">
      <c r="A14" t="s">
        <v>70</v>
      </c>
      <c r="B14" t="str">
        <f>IF(K14&lt;&gt;"", K14 &amp; " " &amp; L14, M14 &amp; " " &amp; L14)</f>
        <v>Kaitlyn Bultemeier</v>
      </c>
      <c r="C14" t="s">
        <v>32</v>
      </c>
      <c r="D14" s="1">
        <v>36347</v>
      </c>
      <c r="E14" t="s">
        <v>400</v>
      </c>
      <c r="F14" t="s">
        <v>11</v>
      </c>
      <c r="G14" s="1">
        <v>45734</v>
      </c>
      <c r="H14" s="1" t="str">
        <f>VLOOKUP(I14, A:B, 2, FALSE)</f>
        <v>Matt Davis</v>
      </c>
      <c r="I14" t="s">
        <v>71</v>
      </c>
      <c r="J14" t="s">
        <v>72</v>
      </c>
      <c r="L14" t="s">
        <v>73</v>
      </c>
      <c r="M14" t="s">
        <v>74</v>
      </c>
    </row>
    <row r="15" spans="1:13" x14ac:dyDescent="0.3">
      <c r="A15" t="s">
        <v>75</v>
      </c>
      <c r="B15" t="str">
        <f>IF(K15&lt;&gt;"", K15 &amp; " " &amp; L15, M15 &amp; " " &amp; L15)</f>
        <v>Rob Bultman</v>
      </c>
      <c r="C15" t="s">
        <v>10</v>
      </c>
      <c r="D15" s="1">
        <v>23729</v>
      </c>
      <c r="E15" t="s">
        <v>425</v>
      </c>
      <c r="F15" t="s">
        <v>11</v>
      </c>
      <c r="G15" s="1">
        <v>44515</v>
      </c>
      <c r="H15" s="1" t="str">
        <f>VLOOKUP(I15, A:B, 2, FALSE)</f>
        <v>Adam Schultz</v>
      </c>
      <c r="I15" t="s">
        <v>53</v>
      </c>
      <c r="J15" t="s">
        <v>76</v>
      </c>
      <c r="K15" t="s">
        <v>77</v>
      </c>
      <c r="L15" t="s">
        <v>78</v>
      </c>
      <c r="M15" t="s">
        <v>79</v>
      </c>
    </row>
    <row r="16" spans="1:13" x14ac:dyDescent="0.3">
      <c r="A16" t="s">
        <v>80</v>
      </c>
      <c r="B16" t="str">
        <f>IF(K16&lt;&gt;"", K16 &amp; " " &amp; L16, M16 &amp; " " &amp; L16)</f>
        <v>DeMarkus Butler</v>
      </c>
      <c r="C16" t="s">
        <v>10</v>
      </c>
      <c r="D16" s="1">
        <v>34369</v>
      </c>
      <c r="E16" t="s">
        <v>398</v>
      </c>
      <c r="F16" t="s">
        <v>11</v>
      </c>
      <c r="G16" s="1">
        <v>45670</v>
      </c>
      <c r="H16" s="1" t="str">
        <f>VLOOKUP(I16, A:B, 2, FALSE)</f>
        <v>Brian Riddle</v>
      </c>
      <c r="I16" t="s">
        <v>27</v>
      </c>
      <c r="J16" t="s">
        <v>81</v>
      </c>
      <c r="L16" t="s">
        <v>82</v>
      </c>
      <c r="M16" t="s">
        <v>83</v>
      </c>
    </row>
    <row r="17" spans="1:13" x14ac:dyDescent="0.3">
      <c r="A17" t="s">
        <v>22</v>
      </c>
      <c r="B17" t="str">
        <f>IF(K17&lt;&gt;"", K17 &amp; " " &amp; L17, M17 &amp; " " &amp; L17)</f>
        <v>Greg Butorin</v>
      </c>
      <c r="C17" t="s">
        <v>10</v>
      </c>
      <c r="D17" s="1">
        <v>33593</v>
      </c>
      <c r="E17" t="s">
        <v>400</v>
      </c>
      <c r="F17" t="s">
        <v>11</v>
      </c>
      <c r="G17" s="1">
        <v>44635</v>
      </c>
      <c r="H17" s="1" t="str">
        <f>VLOOKUP(I17, A:B, 2, FALSE)</f>
        <v>Matt Davis</v>
      </c>
      <c r="I17" t="s">
        <v>71</v>
      </c>
      <c r="J17" t="s">
        <v>84</v>
      </c>
      <c r="K17" t="s">
        <v>85</v>
      </c>
      <c r="L17" t="s">
        <v>86</v>
      </c>
      <c r="M17" t="s">
        <v>87</v>
      </c>
    </row>
    <row r="18" spans="1:13" x14ac:dyDescent="0.3">
      <c r="A18" t="s">
        <v>88</v>
      </c>
      <c r="B18" t="str">
        <f>IF(K18&lt;&gt;"", K18 &amp; " " &amp; L18, M18 &amp; " " &amp; L18)</f>
        <v>Charles Cardwell II</v>
      </c>
      <c r="C18" t="s">
        <v>10</v>
      </c>
      <c r="D18" s="1">
        <v>25800</v>
      </c>
      <c r="E18" t="s">
        <v>403</v>
      </c>
      <c r="F18" t="s">
        <v>11</v>
      </c>
      <c r="G18" s="1">
        <v>43626</v>
      </c>
      <c r="H18" s="1" t="str">
        <f>VLOOKUP(I18, A:B, 2, FALSE)</f>
        <v>Felix Conde Zelocuatecatl</v>
      </c>
      <c r="I18" t="s">
        <v>44</v>
      </c>
      <c r="J18" t="s">
        <v>89</v>
      </c>
      <c r="L18" t="s">
        <v>90</v>
      </c>
      <c r="M18" t="s">
        <v>91</v>
      </c>
    </row>
    <row r="19" spans="1:13" x14ac:dyDescent="0.3">
      <c r="A19" t="s">
        <v>92</v>
      </c>
      <c r="B19" t="str">
        <f>IF(K19&lt;&gt;"", K19 &amp; " " &amp; L19, M19 &amp; " " &amp; L19)</f>
        <v>Zack Chapin</v>
      </c>
      <c r="C19" t="s">
        <v>10</v>
      </c>
      <c r="D19" s="1">
        <v>32407</v>
      </c>
      <c r="E19" t="s">
        <v>401</v>
      </c>
      <c r="F19" t="s">
        <v>11</v>
      </c>
      <c r="G19" s="1">
        <v>43600</v>
      </c>
      <c r="H19" s="1" t="str">
        <f>VLOOKUP(I19, A:B, 2, FALSE)</f>
        <v>Adam Schultz</v>
      </c>
      <c r="I19" t="s">
        <v>53</v>
      </c>
      <c r="J19" t="s">
        <v>93</v>
      </c>
      <c r="K19" t="s">
        <v>94</v>
      </c>
      <c r="L19" t="s">
        <v>95</v>
      </c>
      <c r="M19" t="s">
        <v>96</v>
      </c>
    </row>
    <row r="20" spans="1:13" x14ac:dyDescent="0.3">
      <c r="A20" t="s">
        <v>97</v>
      </c>
      <c r="B20" t="str">
        <f>IF(K20&lt;&gt;"", K20 &amp; " " &amp; L20, M20 &amp; " " &amp; L20)</f>
        <v>Eric Cheatham</v>
      </c>
      <c r="C20" t="s">
        <v>10</v>
      </c>
      <c r="D20" s="1">
        <v>24873</v>
      </c>
      <c r="E20" t="s">
        <v>401</v>
      </c>
      <c r="F20" t="s">
        <v>11</v>
      </c>
      <c r="G20" s="1">
        <v>45103</v>
      </c>
      <c r="H20" s="1" t="str">
        <f>VLOOKUP(I20, A:B, 2, FALSE)</f>
        <v>David Rames</v>
      </c>
      <c r="I20" t="s">
        <v>58</v>
      </c>
      <c r="J20" t="s">
        <v>59</v>
      </c>
      <c r="K20" t="s">
        <v>98</v>
      </c>
      <c r="L20" t="s">
        <v>99</v>
      </c>
      <c r="M20" t="s">
        <v>98</v>
      </c>
    </row>
    <row r="21" spans="1:13" x14ac:dyDescent="0.3">
      <c r="A21" t="s">
        <v>100</v>
      </c>
      <c r="B21" t="str">
        <f>IF(K21&lt;&gt;"", K21 &amp; " " &amp; L21, M21 &amp; " " &amp; L21)</f>
        <v>Gregory Chernov</v>
      </c>
      <c r="C21" t="s">
        <v>10</v>
      </c>
      <c r="D21" s="1">
        <v>28677</v>
      </c>
      <c r="E21" t="s">
        <v>398</v>
      </c>
      <c r="F21" t="s">
        <v>11</v>
      </c>
      <c r="G21" s="1">
        <v>45534</v>
      </c>
      <c r="H21" s="1" t="str">
        <f>VLOOKUP(I21, A:B, 2, FALSE)</f>
        <v>Ryan Prince</v>
      </c>
      <c r="I21" t="s">
        <v>101</v>
      </c>
      <c r="J21" t="s">
        <v>102</v>
      </c>
      <c r="K21" t="s">
        <v>87</v>
      </c>
      <c r="L21" t="s">
        <v>103</v>
      </c>
      <c r="M21" t="s">
        <v>87</v>
      </c>
    </row>
    <row r="22" spans="1:13" x14ac:dyDescent="0.3">
      <c r="A22" t="s">
        <v>104</v>
      </c>
      <c r="B22" t="str">
        <f>IF(K22&lt;&gt;"", K22 &amp; " " &amp; L22, M22 &amp; " " &amp; L22)</f>
        <v>Sarah Chinberg</v>
      </c>
      <c r="C22" t="s">
        <v>32</v>
      </c>
      <c r="D22" s="1">
        <v>33862</v>
      </c>
      <c r="E22" t="s">
        <v>401</v>
      </c>
      <c r="F22" t="s">
        <v>11</v>
      </c>
      <c r="G22" s="1">
        <v>44844</v>
      </c>
      <c r="H22" s="1" t="str">
        <f>VLOOKUP(I22, A:B, 2, FALSE)</f>
        <v>David Leezer</v>
      </c>
      <c r="I22" t="s">
        <v>38</v>
      </c>
      <c r="J22" t="s">
        <v>105</v>
      </c>
      <c r="K22" t="s">
        <v>106</v>
      </c>
      <c r="L22" t="s">
        <v>107</v>
      </c>
      <c r="M22" t="s">
        <v>106</v>
      </c>
    </row>
    <row r="23" spans="1:13" x14ac:dyDescent="0.3">
      <c r="A23" t="s">
        <v>44</v>
      </c>
      <c r="B23" t="str">
        <f>IF(K23&lt;&gt;"", K23 &amp; " " &amp; L23, M23 &amp; " " &amp; L23)</f>
        <v>Felix Conde Zelocuatecatl</v>
      </c>
      <c r="C23" t="s">
        <v>10</v>
      </c>
      <c r="D23" s="1">
        <v>27933</v>
      </c>
      <c r="E23" t="s">
        <v>403</v>
      </c>
      <c r="F23" t="s">
        <v>11</v>
      </c>
      <c r="G23" s="1">
        <v>42796</v>
      </c>
      <c r="H23" s="1" t="str">
        <f>VLOOKUP(I23, A:B, 2, FALSE)</f>
        <v>Adam Schultz</v>
      </c>
      <c r="I23" t="s">
        <v>53</v>
      </c>
      <c r="J23" t="s">
        <v>54</v>
      </c>
      <c r="K23" t="s">
        <v>108</v>
      </c>
      <c r="L23" t="s">
        <v>109</v>
      </c>
      <c r="M23" t="s">
        <v>108</v>
      </c>
    </row>
    <row r="24" spans="1:13" x14ac:dyDescent="0.3">
      <c r="A24" t="s">
        <v>110</v>
      </c>
      <c r="B24" t="str">
        <f>IF(K24&lt;&gt;"", K24 &amp; " " &amp; L24, M24 &amp; " " &amp; L24)</f>
        <v>Jerry Dale</v>
      </c>
      <c r="C24" t="s">
        <v>10</v>
      </c>
      <c r="D24" s="1">
        <v>23792</v>
      </c>
      <c r="E24" t="s">
        <v>401</v>
      </c>
      <c r="F24" t="s">
        <v>11</v>
      </c>
      <c r="G24" s="1">
        <v>44956</v>
      </c>
      <c r="H24" s="1" t="str">
        <f>VLOOKUP(I24, A:B, 2, FALSE)</f>
        <v>Eric Hervol</v>
      </c>
      <c r="I24" t="s">
        <v>111</v>
      </c>
      <c r="J24" t="s">
        <v>112</v>
      </c>
      <c r="K24" t="s">
        <v>113</v>
      </c>
      <c r="L24" t="s">
        <v>114</v>
      </c>
      <c r="M24" t="s">
        <v>115</v>
      </c>
    </row>
    <row r="25" spans="1:13" x14ac:dyDescent="0.3">
      <c r="A25" t="s">
        <v>71</v>
      </c>
      <c r="B25" t="str">
        <f>IF(K25&lt;&gt;"", K25 &amp; " " &amp; L25, M25 &amp; " " &amp; L25)</f>
        <v>Matt Davis</v>
      </c>
      <c r="C25" t="s">
        <v>10</v>
      </c>
      <c r="D25" s="1">
        <v>25004</v>
      </c>
      <c r="E25" t="s">
        <v>400</v>
      </c>
      <c r="F25" t="s">
        <v>11</v>
      </c>
      <c r="G25" s="1">
        <v>45306</v>
      </c>
      <c r="H25" s="1" t="str">
        <f>VLOOKUP(I25, A:B, 2, FALSE)</f>
        <v>Adam Schultz</v>
      </c>
      <c r="I25" t="s">
        <v>53</v>
      </c>
      <c r="J25" t="s">
        <v>54</v>
      </c>
      <c r="K25" t="s">
        <v>116</v>
      </c>
      <c r="L25" t="s">
        <v>117</v>
      </c>
      <c r="M25" t="s">
        <v>118</v>
      </c>
    </row>
    <row r="26" spans="1:13" x14ac:dyDescent="0.3">
      <c r="A26" t="s">
        <v>119</v>
      </c>
      <c r="B26" t="str">
        <f>IF(K26&lt;&gt;"", K26 &amp; " " &amp; L26, M26 &amp; " " &amp; L26)</f>
        <v>Andy DeRossett</v>
      </c>
      <c r="C26" t="s">
        <v>10</v>
      </c>
      <c r="D26" s="1">
        <v>35631</v>
      </c>
      <c r="E26" t="s">
        <v>401</v>
      </c>
      <c r="F26" t="s">
        <v>11</v>
      </c>
      <c r="G26" s="1">
        <v>43851</v>
      </c>
      <c r="H26" s="1" t="str">
        <f>VLOOKUP(I26, A:B, 2, FALSE)</f>
        <v>David Leezer</v>
      </c>
      <c r="I26" t="s">
        <v>38</v>
      </c>
      <c r="J26" t="s">
        <v>120</v>
      </c>
      <c r="K26" t="s">
        <v>121</v>
      </c>
      <c r="L26" t="s">
        <v>122</v>
      </c>
      <c r="M26" t="s">
        <v>123</v>
      </c>
    </row>
    <row r="27" spans="1:13" x14ac:dyDescent="0.3">
      <c r="A27" t="s">
        <v>124</v>
      </c>
      <c r="B27" t="str">
        <f>IF(K27&lt;&gt;"", K27 &amp; " " &amp; L27, M27 &amp; " " &amp; L27)</f>
        <v>Ronald Diehl</v>
      </c>
      <c r="C27" t="s">
        <v>10</v>
      </c>
      <c r="D27" s="1">
        <v>30773</v>
      </c>
      <c r="E27" t="s">
        <v>403</v>
      </c>
      <c r="F27" t="s">
        <v>11</v>
      </c>
      <c r="G27" s="1">
        <v>46027</v>
      </c>
      <c r="H27" s="1" t="str">
        <f>VLOOKUP(I27, A:B, 2, FALSE)</f>
        <v>Felix Conde Zelocuatecatl</v>
      </c>
      <c r="I27" t="s">
        <v>44</v>
      </c>
      <c r="J27" t="s">
        <v>125</v>
      </c>
      <c r="L27" t="s">
        <v>126</v>
      </c>
      <c r="M27" t="s">
        <v>127</v>
      </c>
    </row>
    <row r="28" spans="1:13" x14ac:dyDescent="0.3">
      <c r="A28" t="s">
        <v>128</v>
      </c>
      <c r="B28" t="str">
        <f>IF(K28&lt;&gt;"", K28 &amp; " " &amp; L28, M28 &amp; " " &amp; L28)</f>
        <v>Russell Dietrich</v>
      </c>
      <c r="C28" t="s">
        <v>10</v>
      </c>
      <c r="D28" s="1">
        <v>32676</v>
      </c>
      <c r="E28" t="s">
        <v>398</v>
      </c>
      <c r="F28" t="s">
        <v>11</v>
      </c>
      <c r="G28" s="1">
        <v>43304</v>
      </c>
      <c r="H28" s="1" t="str">
        <f>VLOOKUP(I28, A:B, 2, FALSE)</f>
        <v>Brian Riddle</v>
      </c>
      <c r="I28" t="s">
        <v>27</v>
      </c>
      <c r="J28" t="s">
        <v>89</v>
      </c>
      <c r="L28" t="s">
        <v>129</v>
      </c>
      <c r="M28" t="s">
        <v>130</v>
      </c>
    </row>
    <row r="29" spans="1:13" x14ac:dyDescent="0.3">
      <c r="A29" t="s">
        <v>33</v>
      </c>
      <c r="B29" t="str">
        <f>IF(K29&lt;&gt;"", K29 &amp; " " &amp; L29, M29 &amp; " " &amp; L29)</f>
        <v>Trevor Dyment</v>
      </c>
      <c r="C29" t="s">
        <v>10</v>
      </c>
      <c r="D29" s="1">
        <v>35283</v>
      </c>
      <c r="E29" t="s">
        <v>402</v>
      </c>
      <c r="F29" t="s">
        <v>11</v>
      </c>
      <c r="G29" s="1">
        <v>45628</v>
      </c>
      <c r="H29" s="1" t="str">
        <f>VLOOKUP(I29, A:B, 2, FALSE)</f>
        <v>Adam Schultz</v>
      </c>
      <c r="I29" t="s">
        <v>53</v>
      </c>
      <c r="J29" t="s">
        <v>131</v>
      </c>
      <c r="L29" t="s">
        <v>132</v>
      </c>
      <c r="M29" t="s">
        <v>133</v>
      </c>
    </row>
    <row r="30" spans="1:13" x14ac:dyDescent="0.3">
      <c r="A30" t="s">
        <v>134</v>
      </c>
      <c r="B30" t="str">
        <f>IF(K30&lt;&gt;"", K30 &amp; " " &amp; L30, M30 &amp; " " &amp; L30)</f>
        <v>Cody Ewing</v>
      </c>
      <c r="C30" t="s">
        <v>10</v>
      </c>
      <c r="D30" s="1">
        <v>34704</v>
      </c>
      <c r="E30" t="s">
        <v>399</v>
      </c>
      <c r="F30" t="s">
        <v>11</v>
      </c>
      <c r="G30" s="1">
        <v>45686</v>
      </c>
      <c r="H30" s="1" t="str">
        <f>VLOOKUP(I30, A:B, 2, FALSE)</f>
        <v>Flavio Bernardino</v>
      </c>
      <c r="I30" t="s">
        <v>18</v>
      </c>
      <c r="J30" t="s">
        <v>23</v>
      </c>
      <c r="L30" t="s">
        <v>135</v>
      </c>
      <c r="M30" t="s">
        <v>136</v>
      </c>
    </row>
    <row r="31" spans="1:13" x14ac:dyDescent="0.3">
      <c r="A31" t="s">
        <v>137</v>
      </c>
      <c r="B31" t="str">
        <f>IF(K31&lt;&gt;"", K31 &amp; " " &amp; L31, M31 &amp; " " &amp; L31)</f>
        <v>Bassam Fawaz</v>
      </c>
      <c r="C31" t="s">
        <v>10</v>
      </c>
      <c r="D31" s="1">
        <v>32693</v>
      </c>
      <c r="E31" t="s">
        <v>398</v>
      </c>
      <c r="F31" t="s">
        <v>11</v>
      </c>
      <c r="G31" s="1">
        <v>42907</v>
      </c>
      <c r="H31" s="1" t="str">
        <f>VLOOKUP(I31, A:B, 2, FALSE)</f>
        <v>Brian Riddle</v>
      </c>
      <c r="I31" t="s">
        <v>27</v>
      </c>
      <c r="J31" t="s">
        <v>138</v>
      </c>
      <c r="L31" t="s">
        <v>139</v>
      </c>
      <c r="M31" t="s">
        <v>140</v>
      </c>
    </row>
    <row r="32" spans="1:13" x14ac:dyDescent="0.3">
      <c r="A32" t="s">
        <v>141</v>
      </c>
      <c r="B32" t="str">
        <f>IF(K32&lt;&gt;"", K32 &amp; " " &amp; L32, M32 &amp; " " &amp; L32)</f>
        <v>Yinshan Feng</v>
      </c>
      <c r="C32" t="s">
        <v>10</v>
      </c>
      <c r="D32" s="1">
        <v>27290</v>
      </c>
      <c r="E32" t="s">
        <v>401</v>
      </c>
      <c r="F32" t="s">
        <v>11</v>
      </c>
      <c r="G32" s="1">
        <v>44851</v>
      </c>
      <c r="H32" s="1" t="str">
        <f>VLOOKUP(I32, A:B, 2, FALSE)</f>
        <v>Eric Hervol</v>
      </c>
      <c r="I32" t="s">
        <v>111</v>
      </c>
      <c r="J32" t="s">
        <v>142</v>
      </c>
      <c r="K32" t="s">
        <v>143</v>
      </c>
      <c r="L32" t="s">
        <v>144</v>
      </c>
      <c r="M32" t="s">
        <v>143</v>
      </c>
    </row>
    <row r="33" spans="1:13" x14ac:dyDescent="0.3">
      <c r="A33" t="s">
        <v>145</v>
      </c>
      <c r="B33" t="str">
        <f>IF(K33&lt;&gt;"", K33 &amp; " " &amp; L33, M33 &amp; " " &amp; L33)</f>
        <v>Rick Fischer</v>
      </c>
      <c r="C33" t="s">
        <v>10</v>
      </c>
      <c r="D33" s="1">
        <v>29175</v>
      </c>
      <c r="E33" t="s">
        <v>404</v>
      </c>
      <c r="F33" t="s">
        <v>11</v>
      </c>
      <c r="G33" s="1">
        <v>44984</v>
      </c>
      <c r="H33" s="1" t="str">
        <f>VLOOKUP(I33, A:B, 2, FALSE)</f>
        <v>Adam Schultz</v>
      </c>
      <c r="I33" t="s">
        <v>53</v>
      </c>
      <c r="J33" t="s">
        <v>146</v>
      </c>
      <c r="K33" t="s">
        <v>147</v>
      </c>
      <c r="L33" t="s">
        <v>148</v>
      </c>
      <c r="M33" t="s">
        <v>149</v>
      </c>
    </row>
    <row r="34" spans="1:13" x14ac:dyDescent="0.3">
      <c r="A34" t="s">
        <v>150</v>
      </c>
      <c r="B34" t="str">
        <f>IF(K34&lt;&gt;"", K34 &amp; " " &amp; L34, M34 &amp; " " &amp; L34)</f>
        <v>Steve Fortier</v>
      </c>
      <c r="C34" t="s">
        <v>10</v>
      </c>
      <c r="D34" s="1">
        <v>25403</v>
      </c>
      <c r="E34" t="s">
        <v>399</v>
      </c>
      <c r="F34" t="s">
        <v>11</v>
      </c>
      <c r="G34" s="1">
        <v>44662</v>
      </c>
      <c r="H34" s="1" t="str">
        <f>VLOOKUP(I34, A:B, 2, FALSE)</f>
        <v>Flavio Bernardino</v>
      </c>
      <c r="I34" t="s">
        <v>18</v>
      </c>
      <c r="J34" t="s">
        <v>151</v>
      </c>
      <c r="K34" t="s">
        <v>152</v>
      </c>
      <c r="L34" t="s">
        <v>153</v>
      </c>
      <c r="M34" t="s">
        <v>154</v>
      </c>
    </row>
    <row r="35" spans="1:13" x14ac:dyDescent="0.3">
      <c r="A35" t="s">
        <v>155</v>
      </c>
      <c r="B35" t="str">
        <f>IF(K35&lt;&gt;"", K35 &amp; " " &amp; L35, M35 &amp; " " &amp; L35)</f>
        <v>Simon Fowler</v>
      </c>
      <c r="C35" t="s">
        <v>10</v>
      </c>
      <c r="D35" s="1">
        <v>29995</v>
      </c>
      <c r="E35" t="s">
        <v>404</v>
      </c>
      <c r="F35" t="s">
        <v>11</v>
      </c>
      <c r="G35" s="1">
        <v>44515</v>
      </c>
      <c r="H35" s="1" t="str">
        <f>VLOOKUP(I35, A:B, 2, FALSE)</f>
        <v>Eric Scalf</v>
      </c>
      <c r="I35" t="s">
        <v>156</v>
      </c>
      <c r="J35" t="s">
        <v>49</v>
      </c>
      <c r="L35" t="s">
        <v>157</v>
      </c>
      <c r="M35" t="s">
        <v>158</v>
      </c>
    </row>
    <row r="36" spans="1:13" x14ac:dyDescent="0.3">
      <c r="A36" t="s">
        <v>159</v>
      </c>
      <c r="B36" t="str">
        <f>IF(K36&lt;&gt;"", K36 &amp; " " &amp; L36, M36 &amp; " " &amp; L36)</f>
        <v>Jared Gagel</v>
      </c>
      <c r="C36" t="s">
        <v>10</v>
      </c>
      <c r="D36" s="1">
        <v>36966</v>
      </c>
      <c r="E36" t="s">
        <v>405</v>
      </c>
      <c r="F36" t="s">
        <v>11</v>
      </c>
      <c r="G36" s="1">
        <v>45530</v>
      </c>
      <c r="H36" s="1" t="str">
        <f>VLOOKUP(I36, A:B, 2, FALSE)</f>
        <v>Matt Hunter</v>
      </c>
      <c r="I36" t="s">
        <v>63</v>
      </c>
      <c r="J36" t="s">
        <v>160</v>
      </c>
      <c r="K36" t="s">
        <v>161</v>
      </c>
      <c r="L36" t="s">
        <v>162</v>
      </c>
      <c r="M36" t="s">
        <v>161</v>
      </c>
    </row>
    <row r="37" spans="1:13" x14ac:dyDescent="0.3">
      <c r="A37" t="s">
        <v>163</v>
      </c>
      <c r="B37" t="str">
        <f>IF(K37&lt;&gt;"", K37 &amp; " " &amp; L37, M37 &amp; " " &amp; L37)</f>
        <v>Michael Gaunt</v>
      </c>
      <c r="C37" t="s">
        <v>10</v>
      </c>
      <c r="D37" s="1">
        <v>36020</v>
      </c>
      <c r="E37" t="s">
        <v>400</v>
      </c>
      <c r="F37" t="s">
        <v>11</v>
      </c>
      <c r="G37" s="1">
        <v>44202</v>
      </c>
      <c r="H37" s="1" t="str">
        <f>VLOOKUP(I37, A:B, 2, FALSE)</f>
        <v>Greg Butorin</v>
      </c>
      <c r="I37" t="s">
        <v>22</v>
      </c>
      <c r="J37" t="s">
        <v>13</v>
      </c>
      <c r="K37" t="s">
        <v>164</v>
      </c>
      <c r="L37" t="s">
        <v>165</v>
      </c>
      <c r="M37" t="s">
        <v>166</v>
      </c>
    </row>
    <row r="38" spans="1:13" x14ac:dyDescent="0.3">
      <c r="A38" t="s">
        <v>167</v>
      </c>
      <c r="B38" t="str">
        <f>IF(K38&lt;&gt;"", K38 &amp; " " &amp; L38, M38 &amp; " " &amp; L38)</f>
        <v>Susan Gernert</v>
      </c>
      <c r="C38" t="s">
        <v>32</v>
      </c>
      <c r="D38" s="1">
        <v>22468</v>
      </c>
      <c r="E38" t="s">
        <v>401</v>
      </c>
      <c r="F38" t="s">
        <v>11</v>
      </c>
      <c r="G38" s="1">
        <v>45082</v>
      </c>
      <c r="H38" s="1" t="str">
        <f>VLOOKUP(I38, A:B, 2, FALSE)</f>
        <v>Zack Chapin</v>
      </c>
      <c r="I38" t="s">
        <v>92</v>
      </c>
      <c r="J38" t="s">
        <v>168</v>
      </c>
      <c r="K38" t="s">
        <v>169</v>
      </c>
      <c r="L38" t="s">
        <v>170</v>
      </c>
      <c r="M38" t="s">
        <v>169</v>
      </c>
    </row>
    <row r="39" spans="1:13" x14ac:dyDescent="0.3">
      <c r="A39" t="s">
        <v>171</v>
      </c>
      <c r="B39" t="str">
        <f>IF(K39&lt;&gt;"", K39 &amp; " " &amp; L39, M39 &amp; " " &amp; L39)</f>
        <v>Kimberly Gilmore</v>
      </c>
      <c r="C39" t="s">
        <v>32</v>
      </c>
      <c r="D39" s="1">
        <v>33292</v>
      </c>
      <c r="E39" t="s">
        <v>403</v>
      </c>
      <c r="F39" t="s">
        <v>11</v>
      </c>
      <c r="G39" s="1">
        <v>45854</v>
      </c>
      <c r="H39" s="1" t="str">
        <f>VLOOKUP(I39, A:B, 2, FALSE)</f>
        <v>Felix Conde Zelocuatecatl</v>
      </c>
      <c r="I39" t="s">
        <v>44</v>
      </c>
      <c r="J39" t="s">
        <v>172</v>
      </c>
      <c r="L39" t="s">
        <v>173</v>
      </c>
      <c r="M39" t="s">
        <v>174</v>
      </c>
    </row>
    <row r="40" spans="1:13" x14ac:dyDescent="0.3">
      <c r="A40" t="s">
        <v>175</v>
      </c>
      <c r="B40" t="str">
        <f>IF(K40&lt;&gt;"", K40 &amp; " " &amp; L40, M40 &amp; " " &amp; L40)</f>
        <v>Andre Goncalez Ribeiro</v>
      </c>
      <c r="C40" t="s">
        <v>10</v>
      </c>
      <c r="D40" s="1">
        <v>30926</v>
      </c>
      <c r="E40" t="s">
        <v>401</v>
      </c>
      <c r="F40" t="s">
        <v>11</v>
      </c>
      <c r="G40" s="1">
        <v>45705</v>
      </c>
      <c r="H40" s="1" t="str">
        <f>VLOOKUP(I40, A:B, 2, FALSE)</f>
        <v>David Leezer</v>
      </c>
      <c r="I40" t="s">
        <v>38</v>
      </c>
      <c r="J40" t="s">
        <v>39</v>
      </c>
      <c r="K40" t="s">
        <v>176</v>
      </c>
      <c r="L40" t="s">
        <v>177</v>
      </c>
      <c r="M40" t="s">
        <v>176</v>
      </c>
    </row>
    <row r="41" spans="1:13" x14ac:dyDescent="0.3">
      <c r="A41" t="s">
        <v>178</v>
      </c>
      <c r="B41" t="str">
        <f>IF(K41&lt;&gt;"", K41 &amp; " " &amp; L41, M41 &amp; " " &amp; L41)</f>
        <v>Michael Grant</v>
      </c>
      <c r="C41" t="s">
        <v>10</v>
      </c>
      <c r="D41" s="1">
        <v>31458</v>
      </c>
      <c r="E41" t="s">
        <v>425</v>
      </c>
      <c r="F41" t="s">
        <v>11</v>
      </c>
      <c r="G41" s="1">
        <v>44648</v>
      </c>
      <c r="H41" s="1" t="str">
        <f>VLOOKUP(I41, A:B, 2, FALSE)</f>
        <v>Rob Bultman</v>
      </c>
      <c r="I41" t="s">
        <v>75</v>
      </c>
      <c r="J41" t="s">
        <v>179</v>
      </c>
      <c r="L41" t="s">
        <v>180</v>
      </c>
      <c r="M41" t="s">
        <v>164</v>
      </c>
    </row>
    <row r="42" spans="1:13" x14ac:dyDescent="0.3">
      <c r="A42" t="s">
        <v>181</v>
      </c>
      <c r="B42" t="str">
        <f>IF(K42&lt;&gt;"", K42 &amp; " " &amp; L42, M42 &amp; " " &amp; L42)</f>
        <v>Russell Grant</v>
      </c>
      <c r="C42" t="s">
        <v>10</v>
      </c>
      <c r="D42" s="1">
        <v>30499</v>
      </c>
      <c r="E42" t="s">
        <v>399</v>
      </c>
      <c r="F42" t="s">
        <v>11</v>
      </c>
      <c r="G42" s="1">
        <v>45196</v>
      </c>
      <c r="H42" s="1" t="str">
        <f>VLOOKUP(I42, A:B, 2, FALSE)</f>
        <v>Flavio Bernardino</v>
      </c>
      <c r="I42" t="s">
        <v>18</v>
      </c>
      <c r="J42" t="s">
        <v>182</v>
      </c>
      <c r="K42" t="s">
        <v>130</v>
      </c>
      <c r="L42" t="s">
        <v>180</v>
      </c>
      <c r="M42" t="s">
        <v>130</v>
      </c>
    </row>
    <row r="43" spans="1:13" x14ac:dyDescent="0.3">
      <c r="A43" t="s">
        <v>183</v>
      </c>
      <c r="B43" t="str">
        <f>IF(K43&lt;&gt;"", K43 &amp; " " &amp; L43, M43 &amp; " " &amp; L43)</f>
        <v>Joel Gray</v>
      </c>
      <c r="C43" t="s">
        <v>10</v>
      </c>
      <c r="D43" s="1">
        <v>28971</v>
      </c>
      <c r="E43" t="s">
        <v>401</v>
      </c>
      <c r="F43" t="s">
        <v>11</v>
      </c>
      <c r="G43" s="1">
        <v>44291</v>
      </c>
      <c r="H43" s="1" t="str">
        <f>VLOOKUP(I43, A:B, 2, FALSE)</f>
        <v>David Leezer</v>
      </c>
      <c r="I43" t="s">
        <v>38</v>
      </c>
      <c r="J43" t="s">
        <v>49</v>
      </c>
      <c r="L43" t="s">
        <v>184</v>
      </c>
      <c r="M43" t="s">
        <v>69</v>
      </c>
    </row>
    <row r="44" spans="1:13" x14ac:dyDescent="0.3">
      <c r="A44" t="s">
        <v>185</v>
      </c>
      <c r="B44" t="str">
        <f>IF(K44&lt;&gt;"", K44 &amp; " " &amp; L44, M44 &amp; " " &amp; L44)</f>
        <v>Angeline Green</v>
      </c>
      <c r="C44" t="s">
        <v>32</v>
      </c>
      <c r="D44" s="1">
        <v>27141</v>
      </c>
      <c r="E44" t="s">
        <v>425</v>
      </c>
      <c r="F44" t="s">
        <v>11</v>
      </c>
      <c r="G44" s="1">
        <v>45496</v>
      </c>
      <c r="H44" s="1" t="str">
        <f>VLOOKUP(I44, A:B, 2, FALSE)</f>
        <v>Adam Schultz</v>
      </c>
      <c r="I44" t="s">
        <v>53</v>
      </c>
      <c r="J44" t="s">
        <v>186</v>
      </c>
      <c r="K44" t="s">
        <v>187</v>
      </c>
      <c r="L44" t="s">
        <v>188</v>
      </c>
      <c r="M44" t="s">
        <v>187</v>
      </c>
    </row>
    <row r="45" spans="1:13" x14ac:dyDescent="0.3">
      <c r="A45" t="s">
        <v>189</v>
      </c>
      <c r="B45" t="str">
        <f>IF(K45&lt;&gt;"", K45 &amp; " " &amp; L45, M45 &amp; " " &amp; L45)</f>
        <v>Chuan He</v>
      </c>
      <c r="C45" t="s">
        <v>10</v>
      </c>
      <c r="D45" s="1">
        <v>35457</v>
      </c>
      <c r="E45" t="s">
        <v>403</v>
      </c>
      <c r="F45" t="s">
        <v>11</v>
      </c>
      <c r="G45" s="1">
        <v>46001</v>
      </c>
      <c r="H45" s="1" t="str">
        <f>VLOOKUP(I45, A:B, 2, FALSE)</f>
        <v>Felix Conde Zelocuatecatl</v>
      </c>
      <c r="I45" t="s">
        <v>44</v>
      </c>
      <c r="J45" t="s">
        <v>13</v>
      </c>
      <c r="L45" t="s">
        <v>190</v>
      </c>
      <c r="M45" t="s">
        <v>191</v>
      </c>
    </row>
    <row r="46" spans="1:13" x14ac:dyDescent="0.3">
      <c r="A46" t="s">
        <v>192</v>
      </c>
      <c r="B46" t="str">
        <f>IF(K46&lt;&gt;"", K46 &amp; " " &amp; L46, M46 &amp; " " &amp; L46)</f>
        <v>Josh Heimann</v>
      </c>
      <c r="C46" t="s">
        <v>10</v>
      </c>
      <c r="D46" s="1">
        <v>35345</v>
      </c>
      <c r="E46" t="s">
        <v>404</v>
      </c>
      <c r="F46" t="s">
        <v>11</v>
      </c>
      <c r="G46" s="1">
        <v>45509</v>
      </c>
      <c r="H46" s="1" t="str">
        <f>VLOOKUP(I46, A:B, 2, FALSE)</f>
        <v>Eric Scalf</v>
      </c>
      <c r="I46" t="s">
        <v>156</v>
      </c>
      <c r="J46" t="s">
        <v>193</v>
      </c>
      <c r="K46" t="s">
        <v>194</v>
      </c>
      <c r="L46" t="s">
        <v>195</v>
      </c>
      <c r="M46" t="s">
        <v>196</v>
      </c>
    </row>
    <row r="47" spans="1:13" x14ac:dyDescent="0.3">
      <c r="A47" t="s">
        <v>111</v>
      </c>
      <c r="B47" t="str">
        <f>IF(K47&lt;&gt;"", K47 &amp; " " &amp; L47, M47 &amp; " " &amp; L47)</f>
        <v>Eric Hervol</v>
      </c>
      <c r="C47" t="s">
        <v>10</v>
      </c>
      <c r="D47" s="1">
        <v>27067</v>
      </c>
      <c r="E47" t="s">
        <v>401</v>
      </c>
      <c r="F47" t="s">
        <v>11</v>
      </c>
      <c r="G47" s="1">
        <v>44925</v>
      </c>
      <c r="H47" s="1" t="str">
        <f>VLOOKUP(I47, A:B, 2, FALSE)</f>
        <v>Zack Chapin</v>
      </c>
      <c r="I47" t="s">
        <v>92</v>
      </c>
      <c r="J47" t="s">
        <v>197</v>
      </c>
      <c r="K47" t="s">
        <v>98</v>
      </c>
      <c r="L47" t="s">
        <v>198</v>
      </c>
      <c r="M47" t="s">
        <v>98</v>
      </c>
    </row>
    <row r="48" spans="1:13" x14ac:dyDescent="0.3">
      <c r="A48" t="s">
        <v>12</v>
      </c>
      <c r="B48" t="str">
        <f>IF(K48&lt;&gt;"", K48 &amp; " " &amp; L48, M48 &amp; " " &amp; L48)</f>
        <v>Arthur Hinton</v>
      </c>
      <c r="C48" t="s">
        <v>10</v>
      </c>
      <c r="D48" s="1">
        <v>29894</v>
      </c>
      <c r="E48" t="s">
        <v>398</v>
      </c>
      <c r="F48" t="s">
        <v>11</v>
      </c>
      <c r="G48" s="1">
        <v>45299</v>
      </c>
      <c r="H48" s="1" t="str">
        <f>VLOOKUP(I48, A:B, 2, FALSE)</f>
        <v>Brian Riddle</v>
      </c>
      <c r="I48" t="s">
        <v>27</v>
      </c>
      <c r="J48" t="s">
        <v>199</v>
      </c>
      <c r="K48" t="s">
        <v>200</v>
      </c>
      <c r="L48" t="s">
        <v>201</v>
      </c>
      <c r="M48" t="s">
        <v>200</v>
      </c>
    </row>
    <row r="49" spans="1:13" x14ac:dyDescent="0.3">
      <c r="A49" t="s">
        <v>202</v>
      </c>
      <c r="B49" t="str">
        <f>IF(K49&lt;&gt;"", K49 &amp; " " &amp; L49, M49 &amp; " " &amp; L49)</f>
        <v>Adam Hofmann</v>
      </c>
      <c r="C49" t="s">
        <v>10</v>
      </c>
      <c r="D49" s="1">
        <v>27761</v>
      </c>
      <c r="E49" t="s">
        <v>404</v>
      </c>
      <c r="F49" t="s">
        <v>11</v>
      </c>
      <c r="G49" s="1">
        <v>45642</v>
      </c>
      <c r="H49" s="1" t="str">
        <f>VLOOKUP(I49, A:B, 2, FALSE)</f>
        <v>Eric Scalf</v>
      </c>
      <c r="I49" t="s">
        <v>156</v>
      </c>
      <c r="J49" t="s">
        <v>112</v>
      </c>
      <c r="L49" t="s">
        <v>203</v>
      </c>
      <c r="M49" t="s">
        <v>204</v>
      </c>
    </row>
    <row r="50" spans="1:13" x14ac:dyDescent="0.3">
      <c r="A50" t="s">
        <v>205</v>
      </c>
      <c r="B50" t="str">
        <f>IF(K50&lt;&gt;"", K50 &amp; " " &amp; L50, M50 &amp; " " &amp; L50)</f>
        <v>Phillip Hombroek</v>
      </c>
      <c r="C50" t="s">
        <v>10</v>
      </c>
      <c r="D50" s="1">
        <v>23844</v>
      </c>
      <c r="E50" t="s">
        <v>425</v>
      </c>
      <c r="F50" t="s">
        <v>11</v>
      </c>
      <c r="G50" s="1">
        <v>42233</v>
      </c>
      <c r="H50" s="1" t="str">
        <f>VLOOKUP(I50, A:B, 2, FALSE)</f>
        <v>Adam Schultz</v>
      </c>
      <c r="I50" t="s">
        <v>53</v>
      </c>
      <c r="J50" t="s">
        <v>206</v>
      </c>
      <c r="L50" t="s">
        <v>207</v>
      </c>
      <c r="M50" t="s">
        <v>208</v>
      </c>
    </row>
    <row r="51" spans="1:13" x14ac:dyDescent="0.3">
      <c r="A51" t="s">
        <v>209</v>
      </c>
      <c r="B51" t="str">
        <f>IF(K51&lt;&gt;"", K51 &amp; " " &amp; L51, M51 &amp; " " &amp; L51)</f>
        <v>John Hooker</v>
      </c>
      <c r="C51" t="s">
        <v>10</v>
      </c>
      <c r="D51" s="1">
        <v>23348</v>
      </c>
      <c r="E51" t="s">
        <v>404</v>
      </c>
      <c r="F51" t="s">
        <v>11</v>
      </c>
      <c r="G51" s="1">
        <v>43070</v>
      </c>
      <c r="H51" s="1" t="str">
        <f>VLOOKUP(I51, A:B, 2, FALSE)</f>
        <v>Eric Scalf</v>
      </c>
      <c r="I51" t="s">
        <v>156</v>
      </c>
      <c r="J51" t="s">
        <v>210</v>
      </c>
      <c r="L51" t="s">
        <v>211</v>
      </c>
      <c r="M51" t="s">
        <v>212</v>
      </c>
    </row>
    <row r="52" spans="1:13" x14ac:dyDescent="0.3">
      <c r="A52" t="s">
        <v>63</v>
      </c>
      <c r="B52" t="str">
        <f>IF(K52&lt;&gt;"", K52 &amp; " " &amp; L52, M52 &amp; " " &amp; L52)</f>
        <v>Matt Hunter</v>
      </c>
      <c r="C52" t="s">
        <v>10</v>
      </c>
      <c r="D52" s="1">
        <v>33576</v>
      </c>
      <c r="E52" t="s">
        <v>405</v>
      </c>
      <c r="F52" t="s">
        <v>11</v>
      </c>
      <c r="G52" s="1">
        <v>44929</v>
      </c>
      <c r="H52" s="1" t="str">
        <f>VLOOKUP(I52, A:B, 2, FALSE)</f>
        <v>Adam Schultz</v>
      </c>
      <c r="I52" t="s">
        <v>53</v>
      </c>
      <c r="J52" t="s">
        <v>54</v>
      </c>
      <c r="K52" t="s">
        <v>116</v>
      </c>
      <c r="L52" t="s">
        <v>213</v>
      </c>
      <c r="M52" t="s">
        <v>118</v>
      </c>
    </row>
    <row r="53" spans="1:13" x14ac:dyDescent="0.3">
      <c r="A53" t="s">
        <v>214</v>
      </c>
      <c r="B53" t="str">
        <f>IF(K53&lt;&gt;"", K53 &amp; " " &amp; L53, M53 &amp; " " &amp; L53)</f>
        <v>Robert Irwin</v>
      </c>
      <c r="C53" t="s">
        <v>10</v>
      </c>
      <c r="D53" s="1">
        <v>29846</v>
      </c>
      <c r="E53" t="s">
        <v>402</v>
      </c>
      <c r="F53" t="s">
        <v>11</v>
      </c>
      <c r="G53" s="1">
        <v>45474</v>
      </c>
      <c r="H53" s="1" t="str">
        <f>VLOOKUP(I53, A:B, 2, FALSE)</f>
        <v>Trevor Dyment</v>
      </c>
      <c r="I53" t="s">
        <v>33</v>
      </c>
      <c r="J53" t="s">
        <v>215</v>
      </c>
      <c r="L53" t="s">
        <v>216</v>
      </c>
      <c r="M53" t="s">
        <v>79</v>
      </c>
    </row>
    <row r="54" spans="1:13" x14ac:dyDescent="0.3">
      <c r="A54" t="s">
        <v>217</v>
      </c>
      <c r="B54" t="str">
        <f>IF(K54&lt;&gt;"", K54 &amp; " " &amp; L54, M54 &amp; " " &amp; L54)</f>
        <v>Michael James</v>
      </c>
      <c r="C54" t="s">
        <v>10</v>
      </c>
      <c r="D54" s="1">
        <v>28241</v>
      </c>
      <c r="E54" t="s">
        <v>401</v>
      </c>
      <c r="F54" t="s">
        <v>11</v>
      </c>
      <c r="G54" s="1">
        <v>44984</v>
      </c>
      <c r="H54" s="1" t="str">
        <f>VLOOKUP(I54, A:B, 2, FALSE)</f>
        <v>Zack Chapin</v>
      </c>
      <c r="I54" t="s">
        <v>92</v>
      </c>
      <c r="J54" t="s">
        <v>218</v>
      </c>
      <c r="L54" t="s">
        <v>47</v>
      </c>
      <c r="M54" t="s">
        <v>164</v>
      </c>
    </row>
    <row r="55" spans="1:13" x14ac:dyDescent="0.3">
      <c r="A55" t="s">
        <v>219</v>
      </c>
      <c r="B55" t="str">
        <f>IF(K55&lt;&gt;"", K55 &amp; " " &amp; L55, M55 &amp; " " &amp; L55)</f>
        <v>Seth Jenkins</v>
      </c>
      <c r="C55" t="s">
        <v>10</v>
      </c>
      <c r="D55" s="1">
        <v>36381</v>
      </c>
      <c r="E55" t="s">
        <v>401</v>
      </c>
      <c r="F55" t="s">
        <v>11</v>
      </c>
      <c r="G55" s="1">
        <v>45082</v>
      </c>
      <c r="H55" s="1" t="str">
        <f>VLOOKUP(I55, A:B, 2, FALSE)</f>
        <v>Wyman Mastin</v>
      </c>
      <c r="I55" t="s">
        <v>220</v>
      </c>
      <c r="J55" t="s">
        <v>221</v>
      </c>
      <c r="K55" t="s">
        <v>222</v>
      </c>
      <c r="L55" t="s">
        <v>223</v>
      </c>
      <c r="M55" t="s">
        <v>222</v>
      </c>
    </row>
    <row r="56" spans="1:13" x14ac:dyDescent="0.3">
      <c r="A56" t="s">
        <v>224</v>
      </c>
      <c r="B56" t="str">
        <f>IF(K56&lt;&gt;"", K56 &amp; " " &amp; L56, M56 &amp; " " &amp; L56)</f>
        <v>Michele Johnson</v>
      </c>
      <c r="C56" t="s">
        <v>32</v>
      </c>
      <c r="D56" s="1">
        <v>32338</v>
      </c>
      <c r="E56" t="s">
        <v>404</v>
      </c>
      <c r="F56" t="s">
        <v>11</v>
      </c>
      <c r="G56" s="1">
        <v>45684</v>
      </c>
      <c r="H56" s="1" t="str">
        <f>VLOOKUP(I56, A:B, 2, FALSE)</f>
        <v>Adam Schultz</v>
      </c>
      <c r="I56" t="s">
        <v>53</v>
      </c>
      <c r="J56" t="s">
        <v>225</v>
      </c>
      <c r="K56" t="s">
        <v>226</v>
      </c>
      <c r="L56" t="s">
        <v>227</v>
      </c>
      <c r="M56" t="s">
        <v>226</v>
      </c>
    </row>
    <row r="57" spans="1:13" x14ac:dyDescent="0.3">
      <c r="A57" t="s">
        <v>228</v>
      </c>
      <c r="B57" t="str">
        <f>IF(K57&lt;&gt;"", K57 &amp; " " &amp; L57, M57 &amp; " " &amp; L57)</f>
        <v>Hannah Junglas</v>
      </c>
      <c r="C57" t="s">
        <v>32</v>
      </c>
      <c r="D57" s="1">
        <v>36731</v>
      </c>
      <c r="E57" t="s">
        <v>399</v>
      </c>
      <c r="F57" t="s">
        <v>11</v>
      </c>
      <c r="G57" s="1">
        <v>45103</v>
      </c>
      <c r="H57" s="1" t="str">
        <f>VLOOKUP(I57, A:B, 2, FALSE)</f>
        <v>Flavio Bernardino</v>
      </c>
      <c r="I57" t="s">
        <v>18</v>
      </c>
      <c r="J57" t="s">
        <v>221</v>
      </c>
      <c r="K57" t="s">
        <v>229</v>
      </c>
      <c r="L57" t="s">
        <v>230</v>
      </c>
      <c r="M57" t="s">
        <v>229</v>
      </c>
    </row>
    <row r="58" spans="1:13" x14ac:dyDescent="0.3">
      <c r="A58" t="s">
        <v>231</v>
      </c>
      <c r="B58" t="str">
        <f>IF(K58&lt;&gt;"", K58 &amp; " " &amp; L58, M58 &amp; " " &amp; L58)</f>
        <v>Alli Kling</v>
      </c>
      <c r="C58" t="s">
        <v>32</v>
      </c>
      <c r="D58" s="1">
        <v>37137</v>
      </c>
      <c r="E58" t="s">
        <v>425</v>
      </c>
      <c r="F58" t="s">
        <v>11</v>
      </c>
      <c r="G58" s="1">
        <v>45176</v>
      </c>
      <c r="H58" s="1" t="str">
        <f>VLOOKUP(I58, A:B, 2, FALSE)</f>
        <v>Meredith Yu</v>
      </c>
      <c r="I58" t="s">
        <v>232</v>
      </c>
      <c r="J58" t="s">
        <v>233</v>
      </c>
      <c r="K58" t="s">
        <v>234</v>
      </c>
      <c r="L58" t="s">
        <v>235</v>
      </c>
      <c r="M58" t="s">
        <v>236</v>
      </c>
    </row>
    <row r="59" spans="1:13" x14ac:dyDescent="0.3">
      <c r="A59" t="s">
        <v>237</v>
      </c>
      <c r="B59" t="str">
        <f>IF(K59&lt;&gt;"", K59 &amp; " " &amp; L59, M59 &amp; " " &amp; L59)</f>
        <v>Lara Koppenhoefer</v>
      </c>
      <c r="C59" t="s">
        <v>32</v>
      </c>
      <c r="D59" s="1">
        <v>30531</v>
      </c>
      <c r="E59" t="s">
        <v>400</v>
      </c>
      <c r="F59" t="s">
        <v>11</v>
      </c>
      <c r="G59" s="1">
        <v>45278</v>
      </c>
      <c r="H59" s="1" t="str">
        <f>VLOOKUP(I59, A:B, 2, FALSE)</f>
        <v>Matt Davis</v>
      </c>
      <c r="I59" t="s">
        <v>71</v>
      </c>
      <c r="J59" t="s">
        <v>238</v>
      </c>
      <c r="L59" t="s">
        <v>239</v>
      </c>
      <c r="M59" t="s">
        <v>240</v>
      </c>
    </row>
    <row r="60" spans="1:13" x14ac:dyDescent="0.3">
      <c r="A60" t="s">
        <v>241</v>
      </c>
      <c r="B60" t="str">
        <f>IF(K60&lt;&gt;"", K60 &amp; " " &amp; L60, M60 &amp; " " &amp; L60)</f>
        <v>Kyle Kratzsch</v>
      </c>
      <c r="C60" t="s">
        <v>10</v>
      </c>
      <c r="D60" s="1">
        <v>29169</v>
      </c>
      <c r="E60" t="s">
        <v>401</v>
      </c>
      <c r="F60" t="s">
        <v>11</v>
      </c>
      <c r="G60" s="1">
        <v>45688</v>
      </c>
      <c r="H60" s="1" t="str">
        <f>VLOOKUP(I60, A:B, 2, FALSE)</f>
        <v>Zack Chapin</v>
      </c>
      <c r="I60" t="s">
        <v>92</v>
      </c>
      <c r="J60" t="s">
        <v>242</v>
      </c>
      <c r="K60" t="s">
        <v>243</v>
      </c>
      <c r="L60" t="s">
        <v>244</v>
      </c>
      <c r="M60" t="s">
        <v>243</v>
      </c>
    </row>
    <row r="61" spans="1:13" x14ac:dyDescent="0.3">
      <c r="A61" t="s">
        <v>245</v>
      </c>
      <c r="B61" t="str">
        <f>IF(K61&lt;&gt;"", K61 &amp; " " &amp; L61, M61 &amp; " " &amp; L61)</f>
        <v>Brian Langness</v>
      </c>
      <c r="C61" t="s">
        <v>10</v>
      </c>
      <c r="D61" s="1">
        <v>27821</v>
      </c>
      <c r="E61" t="s">
        <v>401</v>
      </c>
      <c r="F61" t="s">
        <v>11</v>
      </c>
      <c r="G61" s="1">
        <v>43031</v>
      </c>
      <c r="H61" s="1" t="str">
        <f>VLOOKUP(I61, A:B, 2, FALSE)</f>
        <v>David Leezer</v>
      </c>
      <c r="I61" t="s">
        <v>38</v>
      </c>
      <c r="J61" t="s">
        <v>112</v>
      </c>
      <c r="L61" t="s">
        <v>246</v>
      </c>
      <c r="M61" t="s">
        <v>25</v>
      </c>
    </row>
    <row r="62" spans="1:13" x14ac:dyDescent="0.3">
      <c r="A62" t="s">
        <v>247</v>
      </c>
      <c r="B62" t="str">
        <f>IF(K62&lt;&gt;"", K62 &amp; " " &amp; L62, M62 &amp; " " &amp; L62)</f>
        <v>Ernesto Leal Odreman</v>
      </c>
      <c r="C62" t="s">
        <v>10</v>
      </c>
      <c r="D62" s="1">
        <v>31427</v>
      </c>
      <c r="E62" t="s">
        <v>398</v>
      </c>
      <c r="F62" t="s">
        <v>11</v>
      </c>
      <c r="G62" s="1">
        <v>45831</v>
      </c>
      <c r="H62" s="1" t="str">
        <f>VLOOKUP(I62, A:B, 2, FALSE)</f>
        <v>Brian Riddle</v>
      </c>
      <c r="I62" t="s">
        <v>27</v>
      </c>
      <c r="J62" t="s">
        <v>248</v>
      </c>
      <c r="K62" t="s">
        <v>249</v>
      </c>
      <c r="L62" t="s">
        <v>250</v>
      </c>
      <c r="M62" t="s">
        <v>249</v>
      </c>
    </row>
    <row r="63" spans="1:13" x14ac:dyDescent="0.3">
      <c r="A63" t="s">
        <v>38</v>
      </c>
      <c r="B63" t="str">
        <f>IF(K63&lt;&gt;"", K63 &amp; " " &amp; L63, M63 &amp; " " &amp; L63)</f>
        <v>David Leezer</v>
      </c>
      <c r="C63" t="s">
        <v>10</v>
      </c>
      <c r="D63" s="1">
        <v>31867</v>
      </c>
      <c r="E63" t="s">
        <v>401</v>
      </c>
      <c r="F63" t="s">
        <v>11</v>
      </c>
      <c r="G63" s="1">
        <v>43577</v>
      </c>
      <c r="H63" s="1" t="str">
        <f>VLOOKUP(I63, A:B, 2, FALSE)</f>
        <v>Zack Chapin</v>
      </c>
      <c r="I63" t="s">
        <v>92</v>
      </c>
      <c r="J63" t="s">
        <v>251</v>
      </c>
      <c r="L63" t="s">
        <v>252</v>
      </c>
      <c r="M63" t="s">
        <v>16</v>
      </c>
    </row>
    <row r="64" spans="1:13" x14ac:dyDescent="0.3">
      <c r="A64" t="s">
        <v>253</v>
      </c>
      <c r="B64" t="str">
        <f>IF(K64&lt;&gt;"", K64 &amp; " " &amp; L64, M64 &amp; " " &amp; L64)</f>
        <v>Erin Leonard</v>
      </c>
      <c r="C64" t="s">
        <v>32</v>
      </c>
      <c r="D64" s="1">
        <v>30754</v>
      </c>
      <c r="E64" t="s">
        <v>400</v>
      </c>
      <c r="F64" t="s">
        <v>11</v>
      </c>
      <c r="G64" s="1">
        <v>44494</v>
      </c>
      <c r="H64" s="1" t="str">
        <f>VLOOKUP(I64, A:B, 2, FALSE)</f>
        <v>Matt Davis</v>
      </c>
      <c r="I64" t="s">
        <v>71</v>
      </c>
      <c r="J64" t="s">
        <v>254</v>
      </c>
      <c r="L64" t="s">
        <v>255</v>
      </c>
      <c r="M64" t="s">
        <v>256</v>
      </c>
    </row>
    <row r="65" spans="1:13" x14ac:dyDescent="0.3">
      <c r="A65" t="s">
        <v>257</v>
      </c>
      <c r="B65" t="str">
        <f>IF(K65&lt;&gt;"", K65 &amp; " " &amp; L65, M65 &amp; " " &amp; L65)</f>
        <v>Wenhua Li</v>
      </c>
      <c r="C65" t="s">
        <v>10</v>
      </c>
      <c r="D65" s="1">
        <v>26677</v>
      </c>
      <c r="E65" t="s">
        <v>401</v>
      </c>
      <c r="F65" t="s">
        <v>11</v>
      </c>
      <c r="G65" s="1">
        <v>45264</v>
      </c>
      <c r="H65" s="1" t="str">
        <f>VLOOKUP(I65, A:B, 2, FALSE)</f>
        <v>Eric Hervol</v>
      </c>
      <c r="I65" t="s">
        <v>111</v>
      </c>
      <c r="J65" t="s">
        <v>258</v>
      </c>
      <c r="L65" t="s">
        <v>259</v>
      </c>
      <c r="M65" t="s">
        <v>260</v>
      </c>
    </row>
    <row r="66" spans="1:13" x14ac:dyDescent="0.3">
      <c r="A66" t="s">
        <v>261</v>
      </c>
      <c r="B66" t="str">
        <f>IF(K66&lt;&gt;"", K66 &amp; " " &amp; L66, M66 &amp; " " &amp; L66)</f>
        <v>Antonio Lopez Juarez</v>
      </c>
      <c r="C66" t="s">
        <v>10</v>
      </c>
      <c r="D66" s="1">
        <v>27465</v>
      </c>
      <c r="E66" t="s">
        <v>403</v>
      </c>
      <c r="F66" t="s">
        <v>11</v>
      </c>
      <c r="G66" s="1">
        <v>44942</v>
      </c>
      <c r="H66" s="1" t="str">
        <f>VLOOKUP(I66, A:B, 2, FALSE)</f>
        <v>Felix Conde Zelocuatecatl</v>
      </c>
      <c r="I66" t="s">
        <v>44</v>
      </c>
      <c r="J66" t="s">
        <v>49</v>
      </c>
      <c r="K66" t="s">
        <v>262</v>
      </c>
      <c r="L66" t="s">
        <v>263</v>
      </c>
      <c r="M66" t="s">
        <v>262</v>
      </c>
    </row>
    <row r="67" spans="1:13" x14ac:dyDescent="0.3">
      <c r="A67" t="s">
        <v>264</v>
      </c>
      <c r="B67" t="str">
        <f>IF(K67&lt;&gt;"", K67 &amp; " " &amp; L67, M67 &amp; " " &amp; L67)</f>
        <v>Abby Mack</v>
      </c>
      <c r="C67" t="s">
        <v>32</v>
      </c>
      <c r="D67" s="1">
        <v>36059</v>
      </c>
      <c r="E67" t="s">
        <v>405</v>
      </c>
      <c r="F67" t="s">
        <v>11</v>
      </c>
      <c r="G67" s="1">
        <v>45280</v>
      </c>
      <c r="H67" s="1" t="str">
        <f>VLOOKUP(I67, A:B, 2, FALSE)</f>
        <v>Matt Hunter</v>
      </c>
      <c r="I67" t="s">
        <v>63</v>
      </c>
      <c r="J67" t="s">
        <v>172</v>
      </c>
      <c r="K67" t="s">
        <v>265</v>
      </c>
      <c r="L67" t="s">
        <v>266</v>
      </c>
      <c r="M67" t="s">
        <v>267</v>
      </c>
    </row>
    <row r="68" spans="1:13" x14ac:dyDescent="0.3">
      <c r="A68" t="s">
        <v>268</v>
      </c>
      <c r="B68" t="str">
        <f>IF(K68&lt;&gt;"", K68 &amp; " " &amp; L68, M68 &amp; " " &amp; L68)</f>
        <v>Victor Manrique Vazquez</v>
      </c>
      <c r="C68" t="s">
        <v>10</v>
      </c>
      <c r="D68" s="1">
        <v>27951</v>
      </c>
      <c r="E68" t="s">
        <v>398</v>
      </c>
      <c r="F68" t="s">
        <v>11</v>
      </c>
      <c r="G68" s="1">
        <v>45544</v>
      </c>
      <c r="H68" s="1" t="str">
        <f>VLOOKUP(I68, A:B, 2, FALSE)</f>
        <v>Brian Riddle</v>
      </c>
      <c r="I68" t="s">
        <v>27</v>
      </c>
      <c r="J68" t="s">
        <v>199</v>
      </c>
      <c r="K68" t="s">
        <v>269</v>
      </c>
      <c r="L68" t="s">
        <v>270</v>
      </c>
      <c r="M68" t="s">
        <v>269</v>
      </c>
    </row>
    <row r="69" spans="1:13" x14ac:dyDescent="0.3">
      <c r="A69" t="s">
        <v>220</v>
      </c>
      <c r="B69" t="str">
        <f>IF(K69&lt;&gt;"", K69 &amp; " " &amp; L69, M69 &amp; " " &amp; L69)</f>
        <v>Wyman Mastin</v>
      </c>
      <c r="C69" t="s">
        <v>10</v>
      </c>
      <c r="D69" s="1">
        <v>29900</v>
      </c>
      <c r="E69" t="s">
        <v>401</v>
      </c>
      <c r="F69" t="s">
        <v>11</v>
      </c>
      <c r="G69" s="1">
        <v>43892</v>
      </c>
      <c r="H69" s="1" t="str">
        <f>VLOOKUP(I69, A:B, 2, FALSE)</f>
        <v>Zack Chapin</v>
      </c>
      <c r="I69" t="s">
        <v>92</v>
      </c>
      <c r="J69" t="s">
        <v>271</v>
      </c>
      <c r="K69" t="s">
        <v>272</v>
      </c>
      <c r="L69" t="s">
        <v>273</v>
      </c>
      <c r="M69" t="s">
        <v>272</v>
      </c>
    </row>
    <row r="70" spans="1:13" x14ac:dyDescent="0.3">
      <c r="A70" t="s">
        <v>274</v>
      </c>
      <c r="B70" t="str">
        <f>IF(K70&lt;&gt;"", K70 &amp; " " &amp; L70, M70 &amp; " " &amp; L70)</f>
        <v>Irena McDowell</v>
      </c>
      <c r="C70" t="s">
        <v>32</v>
      </c>
      <c r="D70" s="1">
        <v>30493</v>
      </c>
      <c r="E70" t="s">
        <v>401</v>
      </c>
      <c r="F70" t="s">
        <v>11</v>
      </c>
      <c r="G70" s="1">
        <v>45152</v>
      </c>
      <c r="H70" s="1" t="str">
        <f>VLOOKUP(I70, A:B, 2, FALSE)</f>
        <v>Zack Chapin</v>
      </c>
      <c r="I70" t="s">
        <v>92</v>
      </c>
      <c r="J70" t="s">
        <v>275</v>
      </c>
      <c r="L70" t="s">
        <v>276</v>
      </c>
      <c r="M70" t="s">
        <v>277</v>
      </c>
    </row>
    <row r="71" spans="1:13" x14ac:dyDescent="0.3">
      <c r="A71" t="s">
        <v>278</v>
      </c>
      <c r="B71" t="str">
        <f>IF(K71&lt;&gt;"", K71 &amp; " " &amp; L71, M71 &amp; " " &amp; L71)</f>
        <v>Daniel Meyer</v>
      </c>
      <c r="C71" t="s">
        <v>10</v>
      </c>
      <c r="D71" s="1">
        <v>30291</v>
      </c>
      <c r="E71" t="s">
        <v>402</v>
      </c>
      <c r="F71" t="s">
        <v>11</v>
      </c>
      <c r="G71" s="1">
        <v>44893</v>
      </c>
      <c r="H71" s="1" t="str">
        <f>VLOOKUP(I71, A:B, 2, FALSE)</f>
        <v>Trevor Dyment</v>
      </c>
      <c r="I71" t="s">
        <v>33</v>
      </c>
      <c r="J71" t="s">
        <v>279</v>
      </c>
      <c r="L71" t="s">
        <v>280</v>
      </c>
      <c r="M71" t="s">
        <v>281</v>
      </c>
    </row>
    <row r="72" spans="1:13" x14ac:dyDescent="0.3">
      <c r="A72" t="s">
        <v>282</v>
      </c>
      <c r="B72" t="str">
        <f>IF(K72&lt;&gt;"", K72 &amp; " " &amp; L72, M72 &amp; " " &amp; L72)</f>
        <v>Jorge Montalvo Sanchez</v>
      </c>
      <c r="C72" t="s">
        <v>10</v>
      </c>
      <c r="D72" s="1">
        <v>30622</v>
      </c>
      <c r="E72" t="s">
        <v>400</v>
      </c>
      <c r="F72" t="s">
        <v>11</v>
      </c>
      <c r="G72" s="1">
        <v>45712</v>
      </c>
      <c r="H72" s="1" t="str">
        <f>VLOOKUP(I72, A:B, 2, FALSE)</f>
        <v>Matt Davis</v>
      </c>
      <c r="I72" t="s">
        <v>71</v>
      </c>
      <c r="J72" t="s">
        <v>112</v>
      </c>
      <c r="K72" t="s">
        <v>283</v>
      </c>
      <c r="L72" t="s">
        <v>284</v>
      </c>
      <c r="M72" t="s">
        <v>283</v>
      </c>
    </row>
    <row r="73" spans="1:13" x14ac:dyDescent="0.3">
      <c r="A73" t="s">
        <v>285</v>
      </c>
      <c r="B73" t="str">
        <f>IF(K73&lt;&gt;"", K73 &amp; " " &amp; L73, M73 &amp; " " &amp; L73)</f>
        <v>Megan Mulzer-Burgess</v>
      </c>
      <c r="C73" t="s">
        <v>32</v>
      </c>
      <c r="D73" s="1">
        <v>35839</v>
      </c>
      <c r="E73" t="s">
        <v>401</v>
      </c>
      <c r="F73" t="s">
        <v>11</v>
      </c>
      <c r="G73" s="1">
        <v>45187</v>
      </c>
      <c r="H73" s="1" t="str">
        <f>VLOOKUP(I73, A:B, 2, FALSE)</f>
        <v>Zack Chapin</v>
      </c>
      <c r="I73" t="s">
        <v>92</v>
      </c>
      <c r="J73" t="s">
        <v>286</v>
      </c>
      <c r="K73" t="s">
        <v>287</v>
      </c>
      <c r="L73" t="s">
        <v>288</v>
      </c>
      <c r="M73" t="s">
        <v>287</v>
      </c>
    </row>
    <row r="74" spans="1:13" x14ac:dyDescent="0.3">
      <c r="A74" t="s">
        <v>289</v>
      </c>
      <c r="B74" t="str">
        <f>IF(K74&lt;&gt;"", K74 &amp; " " &amp; L74, M74 &amp; " " &amp; L74)</f>
        <v>Vinayak Naik</v>
      </c>
      <c r="C74" t="s">
        <v>10</v>
      </c>
      <c r="D74" s="1">
        <v>26567</v>
      </c>
      <c r="E74" t="s">
        <v>405</v>
      </c>
      <c r="F74" t="s">
        <v>11</v>
      </c>
      <c r="G74" s="1">
        <v>43080</v>
      </c>
      <c r="H74" s="1" t="str">
        <f>VLOOKUP(I74, A:B, 2, FALSE)</f>
        <v>Matt Hunter</v>
      </c>
      <c r="I74" t="s">
        <v>63</v>
      </c>
      <c r="J74" t="s">
        <v>290</v>
      </c>
      <c r="L74" t="s">
        <v>291</v>
      </c>
      <c r="M74" t="s">
        <v>292</v>
      </c>
    </row>
    <row r="75" spans="1:13" x14ac:dyDescent="0.3">
      <c r="A75" t="s">
        <v>293</v>
      </c>
      <c r="B75" t="str">
        <f>IF(K75&lt;&gt;"", K75 &amp; " " &amp; L75, M75 &amp; " " &amp; L75)</f>
        <v>Shuangyao Ni</v>
      </c>
      <c r="C75" t="s">
        <v>10</v>
      </c>
      <c r="D75" s="1">
        <v>21860</v>
      </c>
      <c r="E75" t="s">
        <v>398</v>
      </c>
      <c r="F75" t="s">
        <v>11</v>
      </c>
      <c r="G75" s="1">
        <v>45432</v>
      </c>
      <c r="H75" s="1" t="str">
        <f>VLOOKUP(I75, A:B, 2, FALSE)</f>
        <v>Arthur Hinton</v>
      </c>
      <c r="I75" t="s">
        <v>12</v>
      </c>
      <c r="J75" t="s">
        <v>294</v>
      </c>
      <c r="K75" t="s">
        <v>295</v>
      </c>
      <c r="L75" t="s">
        <v>296</v>
      </c>
      <c r="M75" t="s">
        <v>295</v>
      </c>
    </row>
    <row r="76" spans="1:13" x14ac:dyDescent="0.3">
      <c r="A76" t="s">
        <v>297</v>
      </c>
      <c r="B76" t="str">
        <f>IF(K76&lt;&gt;"", K76 &amp; " " &amp; L76, M76 &amp; " " &amp; L76)</f>
        <v>Holly Payne</v>
      </c>
      <c r="C76" t="s">
        <v>32</v>
      </c>
      <c r="D76" s="1">
        <v>37166</v>
      </c>
      <c r="E76" t="s">
        <v>401</v>
      </c>
      <c r="F76" t="s">
        <v>11</v>
      </c>
      <c r="G76" s="1">
        <v>45309</v>
      </c>
      <c r="H76" s="1" t="str">
        <f>VLOOKUP(I76, A:B, 2, FALSE)</f>
        <v>David Leezer</v>
      </c>
      <c r="I76" t="s">
        <v>38</v>
      </c>
      <c r="J76" t="s">
        <v>298</v>
      </c>
      <c r="K76" t="s">
        <v>299</v>
      </c>
      <c r="L76" t="s">
        <v>300</v>
      </c>
      <c r="M76" t="s">
        <v>299</v>
      </c>
    </row>
    <row r="77" spans="1:13" x14ac:dyDescent="0.3">
      <c r="A77" t="s">
        <v>301</v>
      </c>
      <c r="B77" t="str">
        <f>IF(K77&lt;&gt;"", K77 &amp; " " &amp; L77, M77 &amp; " " &amp; L77)</f>
        <v>Ryan Persaud</v>
      </c>
      <c r="C77" t="s">
        <v>10</v>
      </c>
      <c r="D77" s="1">
        <v>34688</v>
      </c>
      <c r="E77" t="s">
        <v>405</v>
      </c>
      <c r="F77" t="s">
        <v>11</v>
      </c>
      <c r="G77" s="1">
        <v>45152</v>
      </c>
      <c r="H77" s="1" t="str">
        <f>VLOOKUP(I77, A:B, 2, FALSE)</f>
        <v>Matt Hunter</v>
      </c>
      <c r="I77" t="s">
        <v>63</v>
      </c>
      <c r="J77" t="s">
        <v>302</v>
      </c>
      <c r="L77" t="s">
        <v>303</v>
      </c>
      <c r="M77" t="s">
        <v>304</v>
      </c>
    </row>
    <row r="78" spans="1:13" x14ac:dyDescent="0.3">
      <c r="A78" t="s">
        <v>305</v>
      </c>
      <c r="B78" t="str">
        <f>IF(K78&lt;&gt;"", K78 &amp; " " &amp; L78, M78 &amp; " " &amp; L78)</f>
        <v>Dominic Poulin</v>
      </c>
      <c r="C78" t="s">
        <v>10</v>
      </c>
      <c r="D78" s="1">
        <v>26711</v>
      </c>
      <c r="E78" t="s">
        <v>401</v>
      </c>
      <c r="F78" t="s">
        <v>11</v>
      </c>
      <c r="G78" s="1">
        <v>45989</v>
      </c>
      <c r="H78" s="1" t="str">
        <f>VLOOKUP(I78, A:B, 2, FALSE)</f>
        <v>David Rames</v>
      </c>
      <c r="I78" t="s">
        <v>58</v>
      </c>
      <c r="J78" t="s">
        <v>306</v>
      </c>
      <c r="L78" t="s">
        <v>307</v>
      </c>
      <c r="M78" t="s">
        <v>308</v>
      </c>
    </row>
    <row r="79" spans="1:13" x14ac:dyDescent="0.3">
      <c r="A79" t="s">
        <v>101</v>
      </c>
      <c r="B79" t="str">
        <f>IF(K79&lt;&gt;"", K79 &amp; " " &amp; L79, M79 &amp; " " &amp; L79)</f>
        <v>Ryan Prince</v>
      </c>
      <c r="C79" t="s">
        <v>10</v>
      </c>
      <c r="D79" s="1">
        <v>30428</v>
      </c>
      <c r="E79" t="s">
        <v>398</v>
      </c>
      <c r="F79" t="s">
        <v>11</v>
      </c>
      <c r="G79" s="1">
        <v>45446</v>
      </c>
      <c r="H79" s="1" t="str">
        <f>VLOOKUP(I79, A:B, 2, FALSE)</f>
        <v>Brian Riddle</v>
      </c>
      <c r="I79" t="s">
        <v>27</v>
      </c>
      <c r="J79" t="s">
        <v>199</v>
      </c>
      <c r="L79" t="s">
        <v>309</v>
      </c>
      <c r="M79" t="s">
        <v>304</v>
      </c>
    </row>
    <row r="80" spans="1:13" x14ac:dyDescent="0.3">
      <c r="A80" t="s">
        <v>58</v>
      </c>
      <c r="B80" t="str">
        <f>IF(K80&lt;&gt;"", K80 &amp; " " &amp; L80, M80 &amp; " " &amp; L80)</f>
        <v>David Rames</v>
      </c>
      <c r="C80" t="s">
        <v>10</v>
      </c>
      <c r="D80" s="1">
        <v>25167</v>
      </c>
      <c r="E80" t="s">
        <v>401</v>
      </c>
      <c r="F80" t="s">
        <v>11</v>
      </c>
      <c r="G80" s="1">
        <v>44074</v>
      </c>
      <c r="H80" s="1" t="str">
        <f>VLOOKUP(I80, A:B, 2, FALSE)</f>
        <v>Zack Chapin</v>
      </c>
      <c r="I80" t="s">
        <v>92</v>
      </c>
      <c r="J80" t="s">
        <v>310</v>
      </c>
      <c r="K80" t="s">
        <v>16</v>
      </c>
      <c r="L80" t="s">
        <v>311</v>
      </c>
      <c r="M80" t="s">
        <v>16</v>
      </c>
    </row>
    <row r="81" spans="1:13" x14ac:dyDescent="0.3">
      <c r="A81" t="s">
        <v>312</v>
      </c>
      <c r="B81" t="str">
        <f>IF(K81&lt;&gt;"", K81 &amp; " " &amp; L81, M81 &amp; " " &amp; L81)</f>
        <v>Brittany Ratcliff</v>
      </c>
      <c r="C81" t="s">
        <v>32</v>
      </c>
      <c r="D81" s="1">
        <v>33220</v>
      </c>
      <c r="E81" t="s">
        <v>399</v>
      </c>
      <c r="F81" t="s">
        <v>11</v>
      </c>
      <c r="G81" s="1">
        <v>45411</v>
      </c>
      <c r="H81" s="1" t="str">
        <f>VLOOKUP(I81, A:B, 2, FALSE)</f>
        <v>Flavio Bernardino</v>
      </c>
      <c r="I81" t="s">
        <v>18</v>
      </c>
      <c r="J81" t="s">
        <v>313</v>
      </c>
      <c r="L81" t="s">
        <v>314</v>
      </c>
      <c r="M81" t="s">
        <v>315</v>
      </c>
    </row>
    <row r="82" spans="1:13" x14ac:dyDescent="0.3">
      <c r="A82" t="s">
        <v>316</v>
      </c>
      <c r="B82" t="str">
        <f>IF(K82&lt;&gt;"", K82 &amp; " " &amp; L82, M82 &amp; " " &amp; L82)</f>
        <v>Paige Ray</v>
      </c>
      <c r="C82" t="s">
        <v>32</v>
      </c>
      <c r="D82" s="1">
        <v>37760</v>
      </c>
      <c r="E82" t="s">
        <v>405</v>
      </c>
      <c r="F82" t="s">
        <v>11</v>
      </c>
      <c r="G82" s="1">
        <v>45663</v>
      </c>
      <c r="H82" s="1" t="str">
        <f>VLOOKUP(I82, A:B, 2, FALSE)</f>
        <v>Abby Mack</v>
      </c>
      <c r="I82" t="s">
        <v>264</v>
      </c>
      <c r="J82" t="s">
        <v>317</v>
      </c>
      <c r="K82" t="s">
        <v>318</v>
      </c>
      <c r="L82" t="s">
        <v>319</v>
      </c>
      <c r="M82" t="s">
        <v>318</v>
      </c>
    </row>
    <row r="83" spans="1:13" x14ac:dyDescent="0.3">
      <c r="A83" t="s">
        <v>27</v>
      </c>
      <c r="B83" t="str">
        <f>IF(K83&lt;&gt;"", K83 &amp; " " &amp; L83, M83 &amp; " " &amp; L83)</f>
        <v>Brian Riddle</v>
      </c>
      <c r="C83" t="s">
        <v>10</v>
      </c>
      <c r="D83" s="1">
        <v>28800</v>
      </c>
      <c r="E83" t="s">
        <v>398</v>
      </c>
      <c r="F83" t="s">
        <v>11</v>
      </c>
      <c r="G83" s="1">
        <v>44558</v>
      </c>
      <c r="H83" s="1" t="str">
        <f>VLOOKUP(I83, A:B, 2, FALSE)</f>
        <v>Adam Schultz</v>
      </c>
      <c r="I83" t="s">
        <v>53</v>
      </c>
      <c r="J83" t="s">
        <v>54</v>
      </c>
      <c r="L83" t="s">
        <v>320</v>
      </c>
      <c r="M83" t="s">
        <v>25</v>
      </c>
    </row>
    <row r="84" spans="1:13" x14ac:dyDescent="0.3">
      <c r="A84" t="s">
        <v>321</v>
      </c>
      <c r="B84" t="str">
        <f>IF(K84&lt;&gt;"", K84 &amp; " " &amp; L84, M84 &amp; " " &amp; L84)</f>
        <v>Angela Rivera</v>
      </c>
      <c r="C84" t="s">
        <v>32</v>
      </c>
      <c r="D84" s="1">
        <v>29287</v>
      </c>
      <c r="E84" t="s">
        <v>404</v>
      </c>
      <c r="F84" t="s">
        <v>11</v>
      </c>
      <c r="G84" s="1">
        <v>42830</v>
      </c>
      <c r="H84" s="1" t="str">
        <f>VLOOKUP(I84, A:B, 2, FALSE)</f>
        <v>Adam Schultz</v>
      </c>
      <c r="I84" t="s">
        <v>53</v>
      </c>
      <c r="J84" t="s">
        <v>322</v>
      </c>
      <c r="L84" t="s">
        <v>323</v>
      </c>
      <c r="M84" t="s">
        <v>324</v>
      </c>
    </row>
    <row r="85" spans="1:13" x14ac:dyDescent="0.3">
      <c r="A85" t="s">
        <v>325</v>
      </c>
      <c r="B85" t="str">
        <f>IF(K85&lt;&gt;"", K85 &amp; " " &amp; L85, M85 &amp; " " &amp; L85)</f>
        <v>Dylan Rowe</v>
      </c>
      <c r="C85" t="s">
        <v>10</v>
      </c>
      <c r="D85" s="1">
        <v>37019</v>
      </c>
      <c r="E85" t="s">
        <v>405</v>
      </c>
      <c r="F85" t="s">
        <v>11</v>
      </c>
      <c r="G85" s="1">
        <v>45614</v>
      </c>
      <c r="H85" s="1" t="str">
        <f>VLOOKUP(I85, A:B, 2, FALSE)</f>
        <v>Matt Hunter</v>
      </c>
      <c r="I85" t="s">
        <v>63</v>
      </c>
      <c r="J85" t="s">
        <v>298</v>
      </c>
      <c r="L85" t="s">
        <v>326</v>
      </c>
      <c r="M85" t="s">
        <v>327</v>
      </c>
    </row>
    <row r="86" spans="1:13" x14ac:dyDescent="0.3">
      <c r="A86" t="s">
        <v>156</v>
      </c>
      <c r="B86" t="str">
        <f>IF(K86&lt;&gt;"", K86 &amp; " " &amp; L86, M86 &amp; " " &amp; L86)</f>
        <v>Eric Scalf</v>
      </c>
      <c r="C86" t="s">
        <v>10</v>
      </c>
      <c r="D86" s="1">
        <v>29868</v>
      </c>
      <c r="E86" t="s">
        <v>404</v>
      </c>
      <c r="F86" t="s">
        <v>11</v>
      </c>
      <c r="G86" s="1">
        <v>42682</v>
      </c>
      <c r="H86" s="1" t="str">
        <f>VLOOKUP(I86, A:B, 2, FALSE)</f>
        <v>Adam Schultz</v>
      </c>
      <c r="I86" t="s">
        <v>53</v>
      </c>
      <c r="J86" t="s">
        <v>54</v>
      </c>
      <c r="L86" t="s">
        <v>328</v>
      </c>
      <c r="M86" t="s">
        <v>98</v>
      </c>
    </row>
    <row r="87" spans="1:13" x14ac:dyDescent="0.3">
      <c r="A87" t="s">
        <v>53</v>
      </c>
      <c r="B87" t="str">
        <f>IF(K87&lt;&gt;"", K87 &amp; " " &amp; L87, M87 &amp; " " &amp; L87)</f>
        <v>Adam Schultz</v>
      </c>
      <c r="C87" t="s">
        <v>10</v>
      </c>
      <c r="D87" s="1">
        <v>30498</v>
      </c>
      <c r="E87" t="s">
        <v>404</v>
      </c>
      <c r="F87" t="s">
        <v>11</v>
      </c>
      <c r="G87" s="1">
        <v>43535</v>
      </c>
      <c r="H87" s="1" t="str">
        <f>VLOOKUP(I87, A:B, 2, FALSE)</f>
        <v>Adam Schultz</v>
      </c>
      <c r="I87" t="s">
        <v>53</v>
      </c>
      <c r="J87" t="s">
        <v>329</v>
      </c>
      <c r="L87" t="s">
        <v>330</v>
      </c>
      <c r="M87" t="s">
        <v>204</v>
      </c>
    </row>
    <row r="88" spans="1:13" x14ac:dyDescent="0.3">
      <c r="A88" t="s">
        <v>331</v>
      </c>
      <c r="B88" t="str">
        <f>IF(K88&lt;&gt;"", K88 &amp; " " &amp; L88, M88 &amp; " " &amp; L88)</f>
        <v>Eric Scott</v>
      </c>
      <c r="C88" t="s">
        <v>10</v>
      </c>
      <c r="D88" s="1">
        <v>24605</v>
      </c>
      <c r="E88" t="s">
        <v>401</v>
      </c>
      <c r="F88" t="s">
        <v>11</v>
      </c>
      <c r="G88" s="1">
        <v>44564</v>
      </c>
      <c r="H88" s="1" t="str">
        <f>VLOOKUP(I88, A:B, 2, FALSE)</f>
        <v>David Rames</v>
      </c>
      <c r="I88" t="s">
        <v>58</v>
      </c>
      <c r="J88" t="s">
        <v>59</v>
      </c>
      <c r="K88" t="s">
        <v>98</v>
      </c>
      <c r="L88" t="s">
        <v>332</v>
      </c>
      <c r="M88" t="s">
        <v>98</v>
      </c>
    </row>
    <row r="89" spans="1:13" x14ac:dyDescent="0.3">
      <c r="A89" t="s">
        <v>333</v>
      </c>
      <c r="B89" t="str">
        <f>IF(K89&lt;&gt;"", K89 &amp; " " &amp; L89, M89 &amp; " " &amp; L89)</f>
        <v>Ryan Shaffer</v>
      </c>
      <c r="C89" t="s">
        <v>10</v>
      </c>
      <c r="D89" s="1">
        <v>32412</v>
      </c>
      <c r="E89" t="s">
        <v>398</v>
      </c>
      <c r="F89" t="s">
        <v>11</v>
      </c>
      <c r="G89" s="1">
        <v>45398</v>
      </c>
      <c r="H89" s="1" t="str">
        <f>VLOOKUP(I89, A:B, 2, FALSE)</f>
        <v>Brian Riddle</v>
      </c>
      <c r="I89" t="s">
        <v>27</v>
      </c>
      <c r="J89" t="s">
        <v>23</v>
      </c>
      <c r="L89" t="s">
        <v>334</v>
      </c>
      <c r="M89" t="s">
        <v>304</v>
      </c>
    </row>
    <row r="90" spans="1:13" x14ac:dyDescent="0.3">
      <c r="A90" t="s">
        <v>335</v>
      </c>
      <c r="B90" t="str">
        <f>IF(K90&lt;&gt;"", K90 &amp; " " &amp; L90, M90 &amp; " " &amp; L90)</f>
        <v>Shailee Milind Shah</v>
      </c>
      <c r="C90" t="s">
        <v>32</v>
      </c>
      <c r="D90" s="1">
        <v>36863</v>
      </c>
      <c r="E90" t="s">
        <v>398</v>
      </c>
      <c r="F90" t="s">
        <v>11</v>
      </c>
      <c r="G90" s="1">
        <v>45517</v>
      </c>
      <c r="H90" s="1" t="str">
        <f>VLOOKUP(I90, A:B, 2, FALSE)</f>
        <v>Brian Riddle</v>
      </c>
      <c r="I90" t="s">
        <v>27</v>
      </c>
      <c r="J90" t="s">
        <v>336</v>
      </c>
      <c r="L90" t="s">
        <v>337</v>
      </c>
      <c r="M90" t="s">
        <v>338</v>
      </c>
    </row>
    <row r="91" spans="1:13" x14ac:dyDescent="0.3">
      <c r="A91" t="s">
        <v>339</v>
      </c>
      <c r="B91" t="str">
        <f>IF(K91&lt;&gt;"", K91 &amp; " " &amp; L91, M91 &amp; " " &amp; L91)</f>
        <v>Jessica Shuck</v>
      </c>
      <c r="C91" t="s">
        <v>32</v>
      </c>
      <c r="D91" s="1">
        <v>29660</v>
      </c>
      <c r="E91" t="s">
        <v>404</v>
      </c>
      <c r="F91" t="s">
        <v>11</v>
      </c>
      <c r="G91" s="1">
        <v>45369</v>
      </c>
      <c r="H91" s="1" t="str">
        <f>VLOOKUP(I91, A:B, 2, FALSE)</f>
        <v>Adam Schultz</v>
      </c>
      <c r="I91" t="s">
        <v>53</v>
      </c>
      <c r="J91" t="s">
        <v>340</v>
      </c>
      <c r="L91" t="s">
        <v>341</v>
      </c>
      <c r="M91" t="s">
        <v>342</v>
      </c>
    </row>
    <row r="92" spans="1:13" x14ac:dyDescent="0.3">
      <c r="A92" t="s">
        <v>343</v>
      </c>
      <c r="B92" t="str">
        <f>IF(K92&lt;&gt;"", K92 &amp; " " &amp; L92, M92 &amp; " " &amp; L92)</f>
        <v>Bryan Snook</v>
      </c>
      <c r="C92" t="s">
        <v>10</v>
      </c>
      <c r="D92" s="1">
        <v>30652</v>
      </c>
      <c r="E92" t="s">
        <v>399</v>
      </c>
      <c r="F92" t="s">
        <v>11</v>
      </c>
      <c r="G92" s="1">
        <v>42562</v>
      </c>
      <c r="H92" s="1" t="str">
        <f>VLOOKUP(I92, A:B, 2, FALSE)</f>
        <v>Flavio Bernardino</v>
      </c>
      <c r="I92" t="s">
        <v>18</v>
      </c>
      <c r="J92" t="s">
        <v>344</v>
      </c>
      <c r="L92" t="s">
        <v>345</v>
      </c>
      <c r="M92" t="s">
        <v>346</v>
      </c>
    </row>
    <row r="93" spans="1:13" x14ac:dyDescent="0.3">
      <c r="A93" t="s">
        <v>347</v>
      </c>
      <c r="B93" t="str">
        <f>IF(K93&lt;&gt;"", K93 &amp; " " &amp; L93, M93 &amp; " " &amp; L93)</f>
        <v>Jeff Sosebee</v>
      </c>
      <c r="C93" t="s">
        <v>10</v>
      </c>
      <c r="D93" s="1">
        <v>27589</v>
      </c>
      <c r="E93" t="s">
        <v>425</v>
      </c>
      <c r="F93" t="s">
        <v>11</v>
      </c>
      <c r="G93" s="1">
        <v>45175</v>
      </c>
      <c r="H93" s="1" t="str">
        <f>VLOOKUP(I93, A:B, 2, FALSE)</f>
        <v>Rick Fischer</v>
      </c>
      <c r="I93" t="s">
        <v>145</v>
      </c>
      <c r="J93" t="s">
        <v>348</v>
      </c>
      <c r="K93" t="s">
        <v>349</v>
      </c>
      <c r="L93" t="s">
        <v>350</v>
      </c>
      <c r="M93" t="s">
        <v>351</v>
      </c>
    </row>
    <row r="94" spans="1:13" x14ac:dyDescent="0.3">
      <c r="A94" t="s">
        <v>352</v>
      </c>
      <c r="B94" t="str">
        <f>IF(K94&lt;&gt;"", K94 &amp; " " &amp; L94, M94 &amp; " " &amp; L94)</f>
        <v>Melissa Surwillo</v>
      </c>
      <c r="C94" t="s">
        <v>32</v>
      </c>
      <c r="D94" s="1">
        <v>35957</v>
      </c>
      <c r="E94" t="s">
        <v>401</v>
      </c>
      <c r="F94" t="s">
        <v>11</v>
      </c>
      <c r="G94" s="1">
        <v>44960</v>
      </c>
      <c r="H94" s="1" t="str">
        <f>VLOOKUP(I94, A:B, 2, FALSE)</f>
        <v>David Leezer</v>
      </c>
      <c r="I94" t="s">
        <v>38</v>
      </c>
      <c r="J94" t="s">
        <v>13</v>
      </c>
      <c r="L94" t="s">
        <v>353</v>
      </c>
      <c r="M94" t="s">
        <v>354</v>
      </c>
    </row>
    <row r="95" spans="1:13" x14ac:dyDescent="0.3">
      <c r="A95" t="s">
        <v>355</v>
      </c>
      <c r="B95" t="str">
        <f>IF(K95&lt;&gt;"", K95 &amp; " " &amp; L95, M95 &amp; " " &amp; L95)</f>
        <v>Greg Thomas</v>
      </c>
      <c r="C95" t="s">
        <v>10</v>
      </c>
      <c r="D95" s="1">
        <v>28244</v>
      </c>
      <c r="E95" t="s">
        <v>401</v>
      </c>
      <c r="F95" t="s">
        <v>11</v>
      </c>
      <c r="G95" s="1">
        <v>44277</v>
      </c>
      <c r="H95" s="1" t="str">
        <f>VLOOKUP(I95, A:B, 2, FALSE)</f>
        <v>Eric Hervol</v>
      </c>
      <c r="I95" t="s">
        <v>111</v>
      </c>
      <c r="J95" t="s">
        <v>356</v>
      </c>
      <c r="K95" t="s">
        <v>85</v>
      </c>
      <c r="L95" t="s">
        <v>357</v>
      </c>
      <c r="M95" t="s">
        <v>87</v>
      </c>
    </row>
    <row r="96" spans="1:13" x14ac:dyDescent="0.3">
      <c r="A96" t="s">
        <v>358</v>
      </c>
      <c r="B96" t="str">
        <f>IF(K96&lt;&gt;"", K96 &amp; " " &amp; L96, M96 &amp; " " &amp; L96)</f>
        <v>Hieu Vu</v>
      </c>
      <c r="C96" t="s">
        <v>10</v>
      </c>
      <c r="D96" s="1">
        <v>31463</v>
      </c>
      <c r="E96" t="s">
        <v>404</v>
      </c>
      <c r="F96" t="s">
        <v>11</v>
      </c>
      <c r="G96" s="1">
        <v>44564</v>
      </c>
      <c r="H96" s="1" t="str">
        <f>VLOOKUP(I96, A:B, 2, FALSE)</f>
        <v>John Hooker</v>
      </c>
      <c r="I96" t="s">
        <v>209</v>
      </c>
      <c r="J96" t="s">
        <v>23</v>
      </c>
      <c r="K96" t="s">
        <v>359</v>
      </c>
      <c r="L96" t="s">
        <v>360</v>
      </c>
      <c r="M96" t="s">
        <v>359</v>
      </c>
    </row>
    <row r="97" spans="1:13" x14ac:dyDescent="0.3">
      <c r="A97" t="s">
        <v>361</v>
      </c>
      <c r="B97" t="str">
        <f>IF(K97&lt;&gt;"", K97 &amp; " " &amp; L97, M97 &amp; " " &amp; L97)</f>
        <v>Rahul Wadke</v>
      </c>
      <c r="C97" t="s">
        <v>10</v>
      </c>
      <c r="D97" s="1">
        <v>28685</v>
      </c>
      <c r="E97" t="s">
        <v>400</v>
      </c>
      <c r="F97" t="s">
        <v>11</v>
      </c>
      <c r="G97" s="1">
        <v>45481</v>
      </c>
      <c r="H97" s="1" t="str">
        <f>VLOOKUP(I97, A:B, 2, FALSE)</f>
        <v>Matt Davis</v>
      </c>
      <c r="I97" t="s">
        <v>71</v>
      </c>
      <c r="J97" t="s">
        <v>112</v>
      </c>
      <c r="K97" t="s">
        <v>362</v>
      </c>
      <c r="L97" t="s">
        <v>363</v>
      </c>
      <c r="M97" t="s">
        <v>362</v>
      </c>
    </row>
    <row r="98" spans="1:13" x14ac:dyDescent="0.3">
      <c r="A98" t="s">
        <v>364</v>
      </c>
      <c r="B98" t="str">
        <f>IF(K98&lt;&gt;"", K98 &amp; " " &amp; L98, M98 &amp; " " &amp; L98)</f>
        <v>Austin Waid-Jones</v>
      </c>
      <c r="C98" t="s">
        <v>10</v>
      </c>
      <c r="D98" s="1">
        <v>34156</v>
      </c>
      <c r="E98" t="s">
        <v>402</v>
      </c>
      <c r="F98" t="s">
        <v>11</v>
      </c>
      <c r="G98" s="1">
        <v>45688</v>
      </c>
      <c r="H98" s="1" t="str">
        <f>VLOOKUP(I98, A:B, 2, FALSE)</f>
        <v>Trevor Dyment</v>
      </c>
      <c r="I98" t="s">
        <v>33</v>
      </c>
      <c r="J98" t="s">
        <v>365</v>
      </c>
      <c r="L98" t="s">
        <v>366</v>
      </c>
      <c r="M98" t="s">
        <v>367</v>
      </c>
    </row>
    <row r="99" spans="1:13" x14ac:dyDescent="0.3">
      <c r="A99" t="s">
        <v>368</v>
      </c>
      <c r="B99" t="str">
        <f>IF(K99&lt;&gt;"", K99 &amp; " " &amp; L99, M99 &amp; " " &amp; L99)</f>
        <v>Qi Wang</v>
      </c>
      <c r="C99" t="s">
        <v>32</v>
      </c>
      <c r="D99" s="1">
        <v>30348</v>
      </c>
      <c r="E99" t="s">
        <v>425</v>
      </c>
      <c r="F99" t="s">
        <v>11</v>
      </c>
      <c r="G99" s="1">
        <v>45042</v>
      </c>
      <c r="H99" s="1" t="str">
        <f>VLOOKUP(I99, A:B, 2, FALSE)</f>
        <v>Eric Scalf</v>
      </c>
      <c r="I99" t="s">
        <v>156</v>
      </c>
      <c r="J99" t="s">
        <v>369</v>
      </c>
      <c r="L99" t="s">
        <v>370</v>
      </c>
      <c r="M99" t="s">
        <v>371</v>
      </c>
    </row>
    <row r="100" spans="1:13" x14ac:dyDescent="0.3">
      <c r="A100" t="s">
        <v>372</v>
      </c>
      <c r="B100" t="str">
        <f>IF(K100&lt;&gt;"", K100 &amp; " " &amp; L100, M100 &amp; " " &amp; L100)</f>
        <v>Craig Williams</v>
      </c>
      <c r="C100" t="s">
        <v>10</v>
      </c>
      <c r="D100" s="1">
        <v>24563</v>
      </c>
      <c r="E100" t="s">
        <v>405</v>
      </c>
      <c r="F100" t="s">
        <v>11</v>
      </c>
      <c r="G100" s="1">
        <v>44914</v>
      </c>
      <c r="H100" s="1" t="str">
        <f>VLOOKUP(I100, A:B, 2, FALSE)</f>
        <v>Matt Hunter</v>
      </c>
      <c r="I100" t="s">
        <v>63</v>
      </c>
      <c r="J100" t="s">
        <v>373</v>
      </c>
      <c r="K100" t="s">
        <v>374</v>
      </c>
      <c r="L100" t="s">
        <v>375</v>
      </c>
      <c r="M100" t="s">
        <v>374</v>
      </c>
    </row>
    <row r="101" spans="1:13" x14ac:dyDescent="0.3">
      <c r="A101" t="s">
        <v>376</v>
      </c>
      <c r="B101" t="str">
        <f>IF(K101&lt;&gt;"", K101 &amp; " " &amp; L101, M101 &amp; " " &amp; L101)</f>
        <v>David Yang</v>
      </c>
      <c r="C101" t="s">
        <v>10</v>
      </c>
      <c r="D101" s="1">
        <v>27763</v>
      </c>
      <c r="E101" t="s">
        <v>403</v>
      </c>
      <c r="F101" t="s">
        <v>11</v>
      </c>
      <c r="G101" s="1">
        <v>45404</v>
      </c>
      <c r="H101" s="1" t="str">
        <f>VLOOKUP(I101, A:B, 2, FALSE)</f>
        <v>Felix Conde Zelocuatecatl</v>
      </c>
      <c r="I101" t="s">
        <v>44</v>
      </c>
      <c r="J101" t="s">
        <v>49</v>
      </c>
      <c r="K101" t="s">
        <v>16</v>
      </c>
      <c r="L101" t="s">
        <v>377</v>
      </c>
      <c r="M101" t="s">
        <v>378</v>
      </c>
    </row>
    <row r="102" spans="1:13" x14ac:dyDescent="0.3">
      <c r="A102" t="s">
        <v>379</v>
      </c>
      <c r="B102" t="str">
        <f>IF(K102&lt;&gt;"", K102 &amp; " " &amp; L102, M102 &amp; " " &amp; L102)</f>
        <v>Jiang Yin</v>
      </c>
      <c r="C102" t="s">
        <v>10</v>
      </c>
      <c r="D102" s="1">
        <v>24027</v>
      </c>
      <c r="E102" t="s">
        <v>398</v>
      </c>
      <c r="F102" t="s">
        <v>11</v>
      </c>
      <c r="G102" s="1">
        <v>43461</v>
      </c>
      <c r="H102" s="1" t="str">
        <f>VLOOKUP(I102, A:B, 2, FALSE)</f>
        <v>Arthur Hinton</v>
      </c>
      <c r="I102" t="s">
        <v>12</v>
      </c>
      <c r="J102" t="s">
        <v>294</v>
      </c>
      <c r="L102" t="s">
        <v>380</v>
      </c>
      <c r="M102" t="s">
        <v>381</v>
      </c>
    </row>
    <row r="103" spans="1:13" x14ac:dyDescent="0.3">
      <c r="A103" t="s">
        <v>232</v>
      </c>
      <c r="B103" t="str">
        <f>IF(K103&lt;&gt;"", K103 &amp; " " &amp; L103, M103 &amp; " " &amp; L103)</f>
        <v>Meredith Yu</v>
      </c>
      <c r="C103" t="s">
        <v>32</v>
      </c>
      <c r="D103" s="1">
        <v>33460</v>
      </c>
      <c r="E103" t="s">
        <v>425</v>
      </c>
      <c r="F103" t="s">
        <v>11</v>
      </c>
      <c r="G103" s="1">
        <v>44564</v>
      </c>
      <c r="H103" s="1" t="str">
        <f>VLOOKUP(I103, A:B, 2, FALSE)</f>
        <v>Adam Schultz</v>
      </c>
      <c r="I103" t="s">
        <v>53</v>
      </c>
      <c r="J103" t="s">
        <v>382</v>
      </c>
      <c r="K103" t="s">
        <v>383</v>
      </c>
      <c r="L103" t="s">
        <v>384</v>
      </c>
      <c r="M103" t="s">
        <v>385</v>
      </c>
    </row>
    <row r="104" spans="1:13" x14ac:dyDescent="0.3">
      <c r="A104" t="s">
        <v>386</v>
      </c>
      <c r="B104" t="str">
        <f>IF(K104&lt;&gt;"", K104 &amp; " " &amp; L104, M104 &amp; " " &amp; L104)</f>
        <v>Henry Zhang</v>
      </c>
      <c r="C104" t="s">
        <v>10</v>
      </c>
      <c r="D104" s="1">
        <v>29148</v>
      </c>
      <c r="E104" t="s">
        <v>404</v>
      </c>
      <c r="F104" t="s">
        <v>11</v>
      </c>
      <c r="G104" s="1">
        <v>44284</v>
      </c>
      <c r="H104" s="1" t="str">
        <f>VLOOKUP(I104, A:B, 2, FALSE)</f>
        <v>Adam Schultz</v>
      </c>
      <c r="I104" t="s">
        <v>53</v>
      </c>
      <c r="J104" t="s">
        <v>387</v>
      </c>
      <c r="K104" t="s">
        <v>388</v>
      </c>
      <c r="L104" t="s">
        <v>389</v>
      </c>
      <c r="M104" t="s">
        <v>390</v>
      </c>
    </row>
    <row r="105" spans="1:13" x14ac:dyDescent="0.3">
      <c r="A105" t="s">
        <v>391</v>
      </c>
      <c r="B105" t="str">
        <f>IF(K105&lt;&gt;"", K105 &amp; " " &amp; L105, M105 &amp; " " &amp; L105)</f>
        <v>Zhennan Zhang</v>
      </c>
      <c r="C105" t="s">
        <v>10</v>
      </c>
      <c r="D105" s="1">
        <v>33372</v>
      </c>
      <c r="E105" t="s">
        <v>398</v>
      </c>
      <c r="F105" t="s">
        <v>11</v>
      </c>
      <c r="G105" s="1">
        <v>45635</v>
      </c>
      <c r="H105" s="1" t="str">
        <f>VLOOKUP(I105, A:B, 2, FALSE)</f>
        <v>Ryan Prince</v>
      </c>
      <c r="I105" t="s">
        <v>101</v>
      </c>
      <c r="J105" t="s">
        <v>298</v>
      </c>
      <c r="L105" t="s">
        <v>389</v>
      </c>
      <c r="M105" t="s">
        <v>392</v>
      </c>
    </row>
    <row r="106" spans="1:13" x14ac:dyDescent="0.3">
      <c r="A106" t="s">
        <v>393</v>
      </c>
      <c r="B106" t="str">
        <f>IF(K106&lt;&gt;"", K106 &amp; " " &amp; L106, M106 &amp; " " &amp; L106)</f>
        <v>Jason Zhuo</v>
      </c>
      <c r="C106" t="s">
        <v>10</v>
      </c>
      <c r="D106" s="1">
        <v>32463</v>
      </c>
      <c r="E106" t="s">
        <v>400</v>
      </c>
      <c r="F106" t="s">
        <v>11</v>
      </c>
      <c r="G106" s="1">
        <v>45686</v>
      </c>
      <c r="H106" s="1" t="str">
        <f>VLOOKUP(I106, A:B, 2, FALSE)</f>
        <v>Matt Davis</v>
      </c>
      <c r="I106" t="s">
        <v>71</v>
      </c>
      <c r="J106" t="s">
        <v>39</v>
      </c>
      <c r="K106" t="s">
        <v>394</v>
      </c>
      <c r="L106" t="s">
        <v>395</v>
      </c>
      <c r="M106" t="s">
        <v>396</v>
      </c>
    </row>
    <row r="107" spans="1:13" x14ac:dyDescent="0.3">
      <c r="A107" t="s">
        <v>409</v>
      </c>
      <c r="B107" t="str">
        <f>IF(K107&lt;&gt;"", K107 &amp; " " &amp; L107, M107 &amp; " " &amp; L107)</f>
        <v>Tao Bao</v>
      </c>
      <c r="C107" t="s">
        <v>10</v>
      </c>
      <c r="D107" s="1">
        <v>33864</v>
      </c>
      <c r="E107" t="s">
        <v>405</v>
      </c>
      <c r="F107" t="s">
        <v>410</v>
      </c>
      <c r="G107" s="1">
        <v>45971</v>
      </c>
      <c r="H107" s="1" t="str">
        <f>VLOOKUP(I107, A:B, 2, FALSE)</f>
        <v>Matt Hunter</v>
      </c>
      <c r="I107" t="s">
        <v>63</v>
      </c>
      <c r="J107" t="s">
        <v>23</v>
      </c>
      <c r="K107" t="s">
        <v>411</v>
      </c>
      <c r="L107" t="s">
        <v>412</v>
      </c>
      <c r="M107" t="s">
        <v>411</v>
      </c>
    </row>
    <row r="108" spans="1:13" x14ac:dyDescent="0.3">
      <c r="A108" t="s">
        <v>413</v>
      </c>
      <c r="B108" t="str">
        <f>IF(K108&lt;&gt;"", K108 &amp; " " &amp; L108, M108 &amp; " " &amp; L108)</f>
        <v>Guanhua Peng</v>
      </c>
      <c r="C108" t="s">
        <v>10</v>
      </c>
      <c r="D108" s="1">
        <v>32574</v>
      </c>
      <c r="E108" t="s">
        <v>398</v>
      </c>
      <c r="F108" t="s">
        <v>410</v>
      </c>
      <c r="G108" s="1">
        <v>45098</v>
      </c>
      <c r="H108" s="1" t="str">
        <f>VLOOKUP(I108, A:B, 2, FALSE)</f>
        <v>Brian Riddle</v>
      </c>
      <c r="I108" t="s">
        <v>27</v>
      </c>
      <c r="J108" t="s">
        <v>414</v>
      </c>
      <c r="L108" t="s">
        <v>415</v>
      </c>
      <c r="M108" t="s">
        <v>416</v>
      </c>
    </row>
    <row r="109" spans="1:13" x14ac:dyDescent="0.3">
      <c r="A109" t="s">
        <v>417</v>
      </c>
      <c r="B109" t="str">
        <f>IF(K109&lt;&gt;"", K109 &amp; " " &amp; L109, M109 &amp; " " &amp; L109)</f>
        <v>Evan Wang</v>
      </c>
      <c r="C109" t="s">
        <v>10</v>
      </c>
      <c r="D109" s="1">
        <v>30120</v>
      </c>
      <c r="E109" t="s">
        <v>400</v>
      </c>
      <c r="F109" t="s">
        <v>410</v>
      </c>
      <c r="G109" s="1">
        <v>45964</v>
      </c>
      <c r="H109" s="1" t="str">
        <f>VLOOKUP(I109, A:B, 2, FALSE)</f>
        <v>Matt Davis</v>
      </c>
      <c r="I109" t="s">
        <v>71</v>
      </c>
      <c r="J109" t="s">
        <v>418</v>
      </c>
      <c r="K109" t="s">
        <v>419</v>
      </c>
      <c r="L109" t="s">
        <v>370</v>
      </c>
      <c r="M109" t="s">
        <v>420</v>
      </c>
    </row>
    <row r="110" spans="1:13" x14ac:dyDescent="0.3">
      <c r="A110" t="s">
        <v>421</v>
      </c>
      <c r="B110" t="str">
        <f>IF(K110&lt;&gt;"", K110 &amp; " " &amp; L110, M110 &amp; " " &amp; L110)</f>
        <v>Hazan Zhang</v>
      </c>
      <c r="C110" t="s">
        <v>32</v>
      </c>
      <c r="D110" s="1">
        <v>36167</v>
      </c>
      <c r="E110" t="s">
        <v>404</v>
      </c>
      <c r="F110" t="s">
        <v>410</v>
      </c>
      <c r="G110" s="1">
        <v>45789</v>
      </c>
      <c r="H110" s="1" t="str">
        <f>VLOOKUP(I110, A:B, 2, FALSE)</f>
        <v>Adam Schultz</v>
      </c>
      <c r="I110" t="s">
        <v>53</v>
      </c>
      <c r="J110" t="s">
        <v>422</v>
      </c>
      <c r="K110" t="s">
        <v>423</v>
      </c>
      <c r="L110" t="s">
        <v>389</v>
      </c>
      <c r="M110" t="s">
        <v>424</v>
      </c>
    </row>
  </sheetData>
  <autoFilter ref="B1:M110" xr:uid="{F780F635-EB0E-4530-A455-9CA05879D5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ex_hr coop</dc:creator>
  <cp:lastModifiedBy>ex_hr coop</cp:lastModifiedBy>
  <dcterms:created xsi:type="dcterms:W3CDTF">2015-06-05T18:17:20Z</dcterms:created>
  <dcterms:modified xsi:type="dcterms:W3CDTF">2026-02-27T16:12:57Z</dcterms:modified>
</cp:coreProperties>
</file>